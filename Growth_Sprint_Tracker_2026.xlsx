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aimirbaci/Library/Application Support/Claude/local-agent-mode-sessions/83e45352-4333-4517-8a4d-5fa2d36bbb0d/434442a7-0133-4a55-8511-d6ae9af39c3b/local_d4636baa-79e7-4d20-a29f-fdb936f3e13c/outputs/"/>
    </mc:Choice>
  </mc:AlternateContent>
  <xr:revisionPtr revIDLastSave="0" documentId="13_ncr:1_{6DF9C387-D7D1-5943-AB68-565386D33ED9}" xr6:coauthVersionLast="47" xr6:coauthVersionMax="47" xr10:uidLastSave="{00000000-0000-0000-0000-000000000000}"/>
  <bookViews>
    <workbookView xWindow="-14300" yWindow="-28300" windowWidth="68800" windowHeight="28300" tabRatio="500" activeTab="4" xr2:uid="{00000000-000D-0000-FFFF-FFFF00000000}"/>
  </bookViews>
  <sheets>
    <sheet name="📊 Dashboard" sheetId="1" r:id="rId1"/>
    <sheet name="📅 Weekly Log" sheetId="2" r:id="rId2"/>
    <sheet name="🧠 LLM &amp; RLHF" sheetId="3" r:id="rId3"/>
    <sheet name="⚡ Inference HW" sheetId="4" r:id="rId4"/>
    <sheet name="🤝 Tech Sales" sheetId="5" r:id="rId5"/>
    <sheet name="🗣️ Communication" sheetId="6" r:id="rId6"/>
    <sheet name="🎙️ Voice" sheetId="7" r:id="rId7"/>
    <sheet name="📚 Resource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7" i="2" l="1"/>
  <c r="E97" i="2"/>
  <c r="D97" i="2"/>
  <c r="C97" i="2"/>
  <c r="H96" i="2"/>
  <c r="H94" i="2"/>
  <c r="H93" i="2"/>
  <c r="H92" i="2"/>
  <c r="H91" i="2"/>
  <c r="H90" i="2"/>
  <c r="H89" i="2"/>
  <c r="H87" i="2"/>
  <c r="H86" i="2"/>
  <c r="H85" i="2"/>
  <c r="H84" i="2"/>
  <c r="H83" i="2"/>
  <c r="H82" i="2"/>
  <c r="H80" i="2"/>
  <c r="H79" i="2"/>
  <c r="H78" i="2"/>
  <c r="H77" i="2"/>
  <c r="H76" i="2"/>
  <c r="H75" i="2"/>
  <c r="H73" i="2"/>
  <c r="H72" i="2"/>
  <c r="H71" i="2"/>
  <c r="H70" i="2"/>
  <c r="H69" i="2"/>
  <c r="H68" i="2"/>
  <c r="H66" i="2"/>
  <c r="H65" i="2"/>
  <c r="H64" i="2"/>
  <c r="H63" i="2"/>
  <c r="H62" i="2"/>
  <c r="H61" i="2"/>
  <c r="H59" i="2"/>
  <c r="H58" i="2"/>
  <c r="H57" i="2"/>
  <c r="H56" i="2"/>
  <c r="H55" i="2"/>
  <c r="H54" i="2"/>
  <c r="H52" i="2"/>
  <c r="H51" i="2"/>
  <c r="H50" i="2"/>
  <c r="H49" i="2"/>
  <c r="H48" i="2"/>
  <c r="H47" i="2"/>
  <c r="H45" i="2"/>
  <c r="H44" i="2"/>
  <c r="H43" i="2"/>
  <c r="H42" i="2"/>
  <c r="H41" i="2"/>
  <c r="H40" i="2"/>
  <c r="H38" i="2"/>
  <c r="H37" i="2"/>
  <c r="H36" i="2"/>
  <c r="H35" i="2"/>
  <c r="H34" i="2"/>
  <c r="H33" i="2"/>
  <c r="H31" i="2"/>
  <c r="H30" i="2"/>
  <c r="H29" i="2"/>
  <c r="H28" i="2"/>
  <c r="H27" i="2"/>
  <c r="H26" i="2"/>
  <c r="H24" i="2"/>
  <c r="H23" i="2"/>
  <c r="H22" i="2"/>
  <c r="H21" i="2"/>
  <c r="H20" i="2"/>
  <c r="H19" i="2"/>
  <c r="H17" i="2"/>
  <c r="H16" i="2"/>
  <c r="H15" i="2"/>
  <c r="H14" i="2"/>
  <c r="H13" i="2"/>
  <c r="H12" i="2"/>
  <c r="H10" i="2"/>
  <c r="H9" i="2"/>
  <c r="H8" i="2"/>
  <c r="H7" i="2"/>
  <c r="H6" i="2"/>
  <c r="H5" i="2"/>
  <c r="H97" i="2" s="1"/>
  <c r="D10" i="1"/>
  <c r="E10" i="1" s="1"/>
  <c r="D9" i="1"/>
  <c r="E9" i="1" s="1"/>
  <c r="D8" i="1"/>
  <c r="E8" i="1" s="1"/>
  <c r="D7" i="1"/>
  <c r="E7" i="1" s="1"/>
  <c r="D6" i="1"/>
  <c r="E6" i="1" s="1"/>
</calcChain>
</file>

<file path=xl/sharedStrings.xml><?xml version="1.0" encoding="utf-8"?>
<sst xmlns="http://schemas.openxmlformats.org/spreadsheetml/2006/main" count="755" uniqueCount="381">
  <si>
    <t>🚀  PERSONAL GROWTH SPRINT 2026  —  Progress Dashboard</t>
  </si>
  <si>
    <t>Saimir Baci  ·  June 1 – August 31, 2026  ·  5 Pillars  ·  2–3 hrs/day</t>
  </si>
  <si>
    <t>PILLAR</t>
  </si>
  <si>
    <t>Target Hrs</t>
  </si>
  <si>
    <t>Logged Hrs</t>
  </si>
  <si>
    <t>% Complete</t>
  </si>
  <si>
    <t>M1 Milestone</t>
  </si>
  <si>
    <t>M2 Milestone</t>
  </si>
  <si>
    <t>M3 Milestone</t>
  </si>
  <si>
    <t>🧠  LLM &amp; RLHF</t>
  </si>
  <si>
    <t>⬜ Pending</t>
  </si>
  <si>
    <t>⚡  Inference HW</t>
  </si>
  <si>
    <t>🤝  Tech Sales</t>
  </si>
  <si>
    <t>🗣️  Communication</t>
  </si>
  <si>
    <t>🎙️  Voice</t>
  </si>
  <si>
    <t>Milestone Status:   ⬜ Pending     🟡 In Progress     ✅ Complete     ❌ Missed</t>
  </si>
  <si>
    <t>WEEKLY HABIT STREAK  (update manually each Sunday)</t>
  </si>
  <si>
    <t>Wk 1</t>
  </si>
  <si>
    <t>Wk 2</t>
  </si>
  <si>
    <t>Wk 3</t>
  </si>
  <si>
    <t>Wk 4</t>
  </si>
  <si>
    <t>Wk 5</t>
  </si>
  <si>
    <t>Wk 6</t>
  </si>
  <si>
    <t>Wk 7</t>
  </si>
  <si>
    <t>Voice ✅?</t>
  </si>
  <si>
    <t>Study hrs</t>
  </si>
  <si>
    <t>Quality (1-5)</t>
  </si>
  <si>
    <t>MONTHLY REFLECTIONS</t>
  </si>
  <si>
    <t xml:space="preserve">  June 2026</t>
  </si>
  <si>
    <t>Top 3 wins:</t>
  </si>
  <si>
    <t>What to improve:</t>
  </si>
  <si>
    <t>Key insight:</t>
  </si>
  <si>
    <t xml:space="preserve">  July 2026</t>
  </si>
  <si>
    <t xml:space="preserve">  August 2026</t>
  </si>
  <si>
    <t>📅  Daily Learning Log — June–August 2026</t>
  </si>
  <si>
    <t>Log each session below. Complete the 'Note' column — even one sentence. Your streak matters more than your score.</t>
  </si>
  <si>
    <t>Date</t>
  </si>
  <si>
    <t>🧠 LLM
(hrs)</t>
  </si>
  <si>
    <t>⚡ HW
(hrs)</t>
  </si>
  <si>
    <t>🤝 Sales
(hrs)</t>
  </si>
  <si>
    <t>🗣️ Comm
(hrs)</t>
  </si>
  <si>
    <t>🎙️ Voice
(Y/N)</t>
  </si>
  <si>
    <t>Total
(hrs)</t>
  </si>
  <si>
    <t>Energy
(1–5)</t>
  </si>
  <si>
    <t>Key Learning / Note</t>
  </si>
  <si>
    <t>— Review Day —</t>
  </si>
  <si>
    <t>TOTAL</t>
  </si>
  <si>
    <t>🧠  LLM Architectures &amp; RLHF — Curriculum &amp; Progress</t>
  </si>
  <si>
    <t>Check off topics as you complete them. Add notes in the 'Notes' column as you go.</t>
  </si>
  <si>
    <t>Wk</t>
  </si>
  <si>
    <t>Topic / Exercise</t>
  </si>
  <si>
    <t>Resource</t>
  </si>
  <si>
    <t>Status</t>
  </si>
  <si>
    <t>Notes</t>
  </si>
  <si>
    <t xml:space="preserve">  MONTH 1: JUNE — Foundations</t>
  </si>
  <si>
    <t>W1</t>
  </si>
  <si>
    <t>Transformer architecture: multi-head attention, positional encoding, layer norm</t>
  </si>
  <si>
    <t>Annotated Transformer (Harvard NLP); Karpathy 'makemore' / 'nanoGPT'</t>
  </si>
  <si>
    <t>⬜ Todo</t>
  </si>
  <si>
    <t>Self-attention mechanics: Q, K, V matrices; scaled dot-product attention</t>
  </si>
  <si>
    <t>Attention Is All You Need (Vaswani et al., 2017)</t>
  </si>
  <si>
    <t>W2</t>
  </si>
  <si>
    <t>Tokenisation: BPE, SentencePiece, byte-level BPE; build a tiny tokeniser</t>
  </si>
  <si>
    <t>Karpathy 'minBPE' repo</t>
  </si>
  <si>
    <t>Pre-training objective: causal language modelling, next-token prediction, loss landscape</t>
  </si>
  <si>
    <t>Scaling Laws paper (Kaplan et al., 2020)</t>
  </si>
  <si>
    <t>W3</t>
  </si>
  <si>
    <t>Supervised Fine-Tuning (SFT): datasets, instruction formats, loss masking</t>
  </si>
  <si>
    <t>Hugging Face TRL docs; Alpaca paper</t>
  </si>
  <si>
    <t>Parameter-efficient fine-tuning: LoRA, QLoRA, prefix tuning — implement LoRA layer</t>
  </si>
  <si>
    <t>LoRA paper (Hu et al., 2021); LlamaFactory repo</t>
  </si>
  <si>
    <t>W4</t>
  </si>
  <si>
    <t>RLHF: reward modelling from preferences, PPO algorithm basics</t>
  </si>
  <si>
    <t>InstructGPT paper (Ouyang et al., 2022)</t>
  </si>
  <si>
    <t>PPO implementation: policy, value head, KL penalty, clip objective</t>
  </si>
  <si>
    <t>CleanRL PPO implementation; TRL PPO trainer</t>
  </si>
  <si>
    <t xml:space="preserve">  MONTH 2: JULY — Advanced Alignment</t>
  </si>
  <si>
    <t>W5</t>
  </si>
  <si>
    <t>Direct Preference Optimisation (DPO): derivation, why it avoids RL instability</t>
  </si>
  <si>
    <t>DPO paper (Rafailov et al., 2023)</t>
  </si>
  <si>
    <t>RLAIF and Constitutional AI: self-critique loop, red-teaming with Claude</t>
  </si>
  <si>
    <t>Constitutional AI paper (Bai et al., 2022)</t>
  </si>
  <si>
    <t>W6</t>
  </si>
  <si>
    <t>Mixture of Experts (MoE): routing, sparse activation, Mixtral architecture</t>
  </si>
  <si>
    <t>Switch Transformer paper; Mixtral technical report</t>
  </si>
  <si>
    <t>State-space models: S4, Mamba, selective state spaces — conceptual understanding</t>
  </si>
  <si>
    <t>Mamba paper (Gu &amp; Dao, 2023)</t>
  </si>
  <si>
    <t>W7</t>
  </si>
  <si>
    <t>LLM evaluation: MMLU, HellaSwag, TruthfulQA; benchmark pitfalls and Goodhart's Law</t>
  </si>
  <si>
    <t>Big-Bench; HELM evaluation framework docs</t>
  </si>
  <si>
    <t>Safety evaluation: red-teaming techniques, jailbreak categories, refusal training</t>
  </si>
  <si>
    <t>Anthropic red-teaming paper; Llama Guard</t>
  </si>
  <si>
    <t>W8</t>
  </si>
  <si>
    <t>RAG architecture: chunking, embedding, vector search (FAISS/Chroma), reranking</t>
  </si>
  <si>
    <t>LangChain / LlamaIndex docs; ColBERT paper</t>
  </si>
  <si>
    <t>Hybrid search: BM25 + dense retrieval; reciprocal rank fusion</t>
  </si>
  <si>
    <t>BEIR benchmark paper</t>
  </si>
  <si>
    <t xml:space="preserve">  MONTH 3: AUGUST — Applied &amp; Frontier</t>
  </si>
  <si>
    <t>W9</t>
  </si>
  <si>
    <t>Multi-modal models: ViT image encoder, LLaVA architecture, image-text alignment</t>
  </si>
  <si>
    <t>LLaVA paper (Liu et al., 2023); Flamingo paper</t>
  </si>
  <si>
    <t>Vision tokenisation: patch embeddings, cross-attention vs early fusion</t>
  </si>
  <si>
    <t>BLIP-2 paper</t>
  </si>
  <si>
    <t>W10</t>
  </si>
  <si>
    <t>LLM agents: ReAct prompting, tool-use, function calling, memory types</t>
  </si>
  <si>
    <t>ReAct paper; OpenAI function calling docs</t>
  </si>
  <si>
    <t>Agentic loops: planning, reflection, multi-agent coordination (brief survey)</t>
  </si>
  <si>
    <t>AutoGPT, CrewAI, LangGraph docs</t>
  </si>
  <si>
    <t>W11</t>
  </si>
  <si>
    <t>Quantisation: GPTQ, GGUF, AWQ — what changes in the weights, what doesn't</t>
  </si>
  <si>
    <t>GPTQ paper; llama.cpp repo</t>
  </si>
  <si>
    <t>Speculative decoding: draft model, verification, throughput gains</t>
  </si>
  <si>
    <t>Speculative decoding paper (Leviathan et al., 2022)</t>
  </si>
  <si>
    <t>W12</t>
  </si>
  <si>
    <t>Personal synthesis: write 2-page technical brief on one frontier topic</t>
  </si>
  <si>
    <t>Your choice — publish on LinkedIn or internal doc</t>
  </si>
  <si>
    <t>Review: re-read your Week 1 notes; document how your mental model changed</t>
  </si>
  <si>
    <t>Your own notes from Weeks 1–11</t>
  </si>
  <si>
    <t>⚡  Inference Hardware Architecture — Curriculum &amp; Progress</t>
  </si>
  <si>
    <t xml:space="preserve">  MONTH 1: JUNE — GPU Fundamentals</t>
  </si>
  <si>
    <t>GPU architecture: SM hierarchy, CUDA cores, warp scheduling, occupancy</t>
  </si>
  <si>
    <t>NVIDIA CUDA Programming Guide Ch.1–4</t>
  </si>
  <si>
    <t>Memory hierarchy: registers → shared memory → L2 → DRAM; bandwidth vs latency</t>
  </si>
  <si>
    <t>Tim Dettmers 'GPU for Deep Learning' blog</t>
  </si>
  <si>
    <t>CUDA kernel writing: thread blocks, grids, shared memory tile; profile with Nsight</t>
  </si>
  <si>
    <t>CUDA by Example (book); GPU Mode Lecture 1</t>
  </si>
  <si>
    <t>Matrix multiply: naive → tiled → cuBLAS; measure FLOP/s and bandwidth utilisation</t>
  </si>
  <si>
    <t>CUTLASS repo; Simon Boehm blog on GEMM</t>
  </si>
  <si>
    <t>Inference bottlenecks: arithmetic intensity, memory-bound vs compute-bound, roofline model</t>
  </si>
  <si>
    <t>Roofline model paper; Dissecting the A100 (MLSys 2022)</t>
  </si>
  <si>
    <t>KV cache: why it exists, memory footprint formula, GQA / MQA variants</t>
  </si>
  <si>
    <t>Efficient Transformers survey; GQA paper</t>
  </si>
  <si>
    <t>FlashAttention: IO-aware tiling, SRAM reuse, backward pass summary</t>
  </si>
  <si>
    <t>FlashAttention-2 paper (Dao, 2023)</t>
  </si>
  <si>
    <t>Paged attention: vLLM's PagedAttention — OS memory management analogy</t>
  </si>
  <si>
    <t>vLLM paper (Kwon et al., 2023)</t>
  </si>
  <si>
    <t xml:space="preserve">  MONTH 2: JULY — Metal, macOS &amp; AMD</t>
  </si>
  <si>
    <t>Apple Silicon: Unified Memory architecture, bandwidth, Neural Engine TOPS</t>
  </si>
  <si>
    <t>Apple Silicon M4 whitepaper; MLX docs</t>
  </si>
  <si>
    <t>Metal compute shaders: thread groups, threadgroup memory — conceptual vs CUDA</t>
  </si>
  <si>
    <t>Apple Metal Shading Language Spec</t>
  </si>
  <si>
    <t>MLX framework: run Mistral-7B / Phi-3 on Mac; measure tokens/sec and memory use</t>
  </si>
  <si>
    <t>MLX GitHub repo; mlx-lm examples</t>
  </si>
  <si>
    <t>MLX internals: lazy evaluation, unified memory ops, metal backend</t>
  </si>
  <si>
    <t>MLX design doc; Awni Hannun talk</t>
  </si>
  <si>
    <t>AMD RDNA/CDNA architecture: wavefronts, LDS, MI300X for inference</t>
  </si>
  <si>
    <t>AMD ROCm docs; AMD MI300X whitepaper</t>
  </si>
  <si>
    <t>HIP programming: porting a CUDA kernel to HIP; ROCm profiling tools</t>
  </si>
  <si>
    <t>ROCm HIP docs; Hipify tool</t>
  </si>
  <si>
    <t>Operator fusion: fusing LayerNorm + attention; why it reduces memory traffic</t>
  </si>
  <si>
    <t>Triton programming guide; flash-attention Triton kernel</t>
  </si>
  <si>
    <t>INT8 / INT4 quantised kernels: GPTQ kernel, AWQ kernel — how weights are packed</t>
  </si>
  <si>
    <t>GPTQ kernel repo; AWQ paper</t>
  </si>
  <si>
    <t xml:space="preserve">  MONTH 3: AUGUST — Custom Silicon &amp; Serving</t>
  </si>
  <si>
    <t>Groq LPU: deterministic SRAM-only execution, streaming, compiler-driven parallelism</t>
  </si>
  <si>
    <t>Groq architecture whitepaper; Groq blog posts</t>
  </si>
  <si>
    <t>Inference latency vs throughput trade-offs on Groq vs GPU</t>
  </si>
  <si>
    <t>Groq benchmark comparisons</t>
  </si>
  <si>
    <t>Cerebras wafer-scale: dataflow architecture, no memory hierarchy, sparse tensor cores</t>
  </si>
  <si>
    <t>Cerebras CS-3 whitepaper</t>
  </si>
  <si>
    <t>Qualcomm AI 100 Ultra: heterogeneous compute, on-device inference for edge robotics</t>
  </si>
  <si>
    <t>Qualcomm AI 100 whitepaper; QNN SDK docs</t>
  </si>
  <si>
    <t>vLLM serving: continuous batching, PagedAttention, multi-GPU tensor parallelism</t>
  </si>
  <si>
    <t>vLLM GitHub; Anyscale serving blog</t>
  </si>
  <si>
    <t>TensorRT-LLM: NVIDIA's high-performance inference engine, plugin system</t>
  </si>
  <si>
    <t>TensorRT-LLM docs; NVIDIA blog</t>
  </si>
  <si>
    <t>Personal synthesis: hardware selection guide for an edge robotics inference workload</t>
  </si>
  <si>
    <t>Combine roofline, chip specs, and power budget</t>
  </si>
  <si>
    <t>Compare: latency/power/cost table for GPU vs Apple M4 vs Groq for a given model</t>
  </si>
  <si>
    <t>Benchmarks you ran + published data</t>
  </si>
  <si>
    <t>🤝  Technical Sales (Robotics) — Curriculum &amp; Progress</t>
  </si>
  <si>
    <t xml:space="preserve">  MONTH 1: JUNE — Methodology Foundations</t>
  </si>
  <si>
    <t>Read 'The Challenger Sale': core Challenger model, teaching, tailoring, taking control</t>
  </si>
  <si>
    <t>The Challenger Sale — Dixon &amp; Adamson</t>
  </si>
  <si>
    <t>MEDDIC: Metrics, Economic Buyer, Decision Criteria, Decision Process, Identify Pain, Champion</t>
  </si>
  <si>
    <t>MEDDIC Academy (meddic.com)</t>
  </si>
  <si>
    <t>ICP definition: map logistics AMR / agriculture / manufacturing cobot customer profiles</t>
  </si>
  <si>
    <t>Augmentifai Sales GTM Skill (internal)</t>
  </si>
  <si>
    <t>Buyer personas: Fleet Ops Manager, CTO, DevOps Lead, SRE — pain, language, objections</t>
  </si>
  <si>
    <t>Discovery call framework: 5 high-value opening questions; active listening drills</t>
  </si>
  <si>
    <t>SPIN Selling — Neil Rackham (Ch. 1–4)</t>
  </si>
  <si>
    <t>Economic Buyer identification: signs you're talking to a champion vs decision-maker</t>
  </si>
  <si>
    <t>MEDDIC Academy</t>
  </si>
  <si>
    <t>Value proposition: craft 30-sec / 2-min / 10-min pitch for Synapse Debugger</t>
  </si>
  <si>
    <t>Augmentifai concept + company skills (internal)</t>
  </si>
  <si>
    <t>Record and review your pitch: watch for pace, filler, and clarity of the 'so what'</t>
  </si>
  <si>
    <t>Voice Memos / Loom</t>
  </si>
  <si>
    <t xml:space="preserve">  MONTH 2: JULY — Robotics Domain &amp; Demo</t>
  </si>
  <si>
    <t>ROS2 fundamentals: nodes, topics, services, actions; common robotics failure modes</t>
  </si>
  <si>
    <t>ROS2 Documentation (docs.ros.org); YouTube intro</t>
  </si>
  <si>
    <t>Fleet management systems: FMS architecture, common vendors, pain points at scale</t>
  </si>
  <si>
    <t>Vendor websites; Robotics Business Review</t>
  </si>
  <si>
    <t>Competitive battle card: top 3 Augmentifai competitors — differentiators, weaknesses</t>
  </si>
  <si>
    <t>Objection handling: practise 5 common objections aloud with responses</t>
  </si>
  <si>
    <t>Gong Revenue Intelligence Blog</t>
  </si>
  <si>
    <t>Demo structure: problem → demo → value — 20-minute Synapse Debugger demo outline</t>
  </si>
  <si>
    <t>Augmentifai Synapse Skill (internal)</t>
  </si>
  <si>
    <t>Record and review the demo: note where energy drops and where clarity is low</t>
  </si>
  <si>
    <t>Loom / Voice Memos</t>
  </si>
  <si>
    <t>Proof-of-value (POV) design: success criteria, timeline, owner, metrics, exit criteria</t>
  </si>
  <si>
    <t>MEDDIC POV framework</t>
  </si>
  <si>
    <t>POV objection: 'we don't have time' — practice the response 5 times</t>
  </si>
  <si>
    <t>30 Min to President's Club Podcast</t>
  </si>
  <si>
    <t xml:space="preserve">  MONTH 3: AUGUST — Pipeline &amp; Applied Selling</t>
  </si>
  <si>
    <t>Write 10 personalised cold outreach emails targeting logistics AMR ICP</t>
  </si>
  <si>
    <t>Smart Brevity framework; Augmentifai GTM Skill</t>
  </si>
  <si>
    <t>LinkedIn outreach: 5 targeted connection messages with a clear value hook</t>
  </si>
  <si>
    <t>LinkedIn Sales Navigator best practices</t>
  </si>
  <si>
    <t>Negotiation basics: BATNA, anchoring, concession ladder, 'if you... then I...'</t>
  </si>
  <si>
    <t>Never Split the Difference — Chris Voss (Ch. 1–3)</t>
  </si>
  <si>
    <t>Role-play 2 closing scenarios: budget objection and 'need to think about it'</t>
  </si>
  <si>
    <t>Practice partner or record solo</t>
  </si>
  <si>
    <t>CRM pipeline discipline: build mock pipeline in Friday PM with 5 dummy deals</t>
  </si>
  <si>
    <t>Friday PM MCP tools (internal)</t>
  </si>
  <si>
    <t>Weekly deal review: practise 3-min verbal update per deal — status, next step, risk</t>
  </si>
  <si>
    <t>Salesforce / Gong deal review methodology</t>
  </si>
  <si>
    <t>Full mock sales cycle: discovery → demo → objection → close (full recorded session)</t>
  </si>
  <si>
    <t>All of the above</t>
  </si>
  <si>
    <t>Debrief and score: use MEDDIC scorecard on the mock deal — what would you do differently?</t>
  </si>
  <si>
    <t>MEDDIC Academy scorecard template</t>
  </si>
  <si>
    <t>🗣️  Communication Skills — Curriculum &amp; Progress</t>
  </si>
  <si>
    <t xml:space="preserve">  MONTH 1: JUNE — Structure &amp; Clarity</t>
  </si>
  <si>
    <t>Read The Pyramid Principle: SCQA framework, inductive vs deductive ordering</t>
  </si>
  <si>
    <t>The Pyramid Principle — Barbara Minto (Ch. 1–3)</t>
  </si>
  <si>
    <t>Apply SCQA: rewrite 3 real emails using the Situation-Complication-Question-Answer structure</t>
  </si>
  <si>
    <t>Your own inbox</t>
  </si>
  <si>
    <t>Writing audit: pick 10 recent messages — highlight vague words, buried main points, padding</t>
  </si>
  <si>
    <t>Hemingway App (hemingwayapp.com)</t>
  </si>
  <si>
    <t>Find your filler patterns: list your top 5 vague/weak words (basically, very, sort of, just)</t>
  </si>
  <si>
    <t>Your own emails and Slack messages</t>
  </si>
  <si>
    <t>One-idea-per-sentence: rewrite 5 paragraphs; target max 20 words per sentence</t>
  </si>
  <si>
    <t>On Writing Well — Zinsser (Ch. 2–4)</t>
  </si>
  <si>
    <t>Lead with the conclusion: practice starting every response with the answer, not the context</t>
  </si>
  <si>
    <t>Smart Brevity — Axios</t>
  </si>
  <si>
    <t>1-sentence summary discipline: after every meeting, write one sentence summarising the decision</t>
  </si>
  <si>
    <t>Apply in Friday PM task notes</t>
  </si>
  <si>
    <t>Weekly writing challenge: write a 5-bullet weekly update that a C-level could read in 60 seconds</t>
  </si>
  <si>
    <t>BLUF format guide</t>
  </si>
  <si>
    <t xml:space="preserve">  MONTH 2: JULY — Conciseness &amp; Precision</t>
  </si>
  <si>
    <t>Active voice practice: identify passive sentences in 5 docs/emails; rewrite all</t>
  </si>
  <si>
    <t>Elements of Style — Strunk &amp; White (Rule 14)</t>
  </si>
  <si>
    <t>Cut 20%: take any piece of writing and reduce it by 20% without losing meaning</t>
  </si>
  <si>
    <t>On Writing Well — Ch. 7</t>
  </si>
  <si>
    <t>Verbal 3-point answers: practice the 'position → reason → example' structure in conversations</t>
  </si>
  <si>
    <t>Toastmasters Table Topics format</t>
  </si>
  <si>
    <t>Record 3 verbal responses to 'tell me about X' questions; listen for filler and rambling</t>
  </si>
  <si>
    <t>Voice Memos app</t>
  </si>
  <si>
    <t>The smart brief: write a 5-line project update that replaces a 30-minute meeting</t>
  </si>
  <si>
    <t>Axios Smart Brevity format</t>
  </si>
  <si>
    <t>Async-first writing: practice the principle of 'no meeting if a message would do'</t>
  </si>
  <si>
    <t>Doist's Guide to Async Communication</t>
  </si>
  <si>
    <t>Presentation clarity: for any 10-min topic, write an opening hook (1 sentence), 3 points, close</t>
  </si>
  <si>
    <t>TED Talk structure analysis</t>
  </si>
  <si>
    <t>Peer feedback: send 3 emails to a trusted colleague and ask for honest clarity feedback</t>
  </si>
  <si>
    <t>Use a simple scorecard: clear? concise? actionable?</t>
  </si>
  <si>
    <t xml:space="preserve">  MONTH 3: AUGUST — Executive Communication</t>
  </si>
  <si>
    <t>BLUF for leadership: practice 'Bottom Line Up Front' format for any upward communication</t>
  </si>
  <si>
    <t>US Army BLUF doctrine; exec writing guides</t>
  </si>
  <si>
    <t>Executive email template: subject (outcome), 2-line summary, 3 bullets, clear ask</t>
  </si>
  <si>
    <t>Your own templates</t>
  </si>
  <si>
    <t>Presentation structure: opening hook → insight 1 → 2 → 3 → call to action. 10-min practice talk</t>
  </si>
  <si>
    <t>Garr Reynolds 'Presentation Zen' (book/blog)</t>
  </si>
  <si>
    <t>Speaking clarity drill: record yourself explaining a complex topic to a 12-year-old</t>
  </si>
  <si>
    <t>Voice Memos; share with a non-technical friend</t>
  </si>
  <si>
    <t>Feedback loop: ask a colleague weekly for one thing to improve in your communication</t>
  </si>
  <si>
    <t>Use a specific question: 'Was my last update clear and direct?'</t>
  </si>
  <si>
    <t>Conflict communication: practice delivering difficult news clearly and kindly (role-play)</t>
  </si>
  <si>
    <t>Crucial Conversations — Patterson et al. (Ch. 1–3)</t>
  </si>
  <si>
    <t>Personal style guide: document your 10 communication rules — your own cheat sheet</t>
  </si>
  <si>
    <t>Print and keep visible at desk</t>
  </si>
  <si>
    <t>Before/after portfolio: collect 5 examples of improved writing from Week 1 to Week 12</t>
  </si>
  <si>
    <t>Side-by-side comparison document</t>
  </si>
  <si>
    <t>🎙️  Voice &amp; Command — Curriculum &amp; Progress</t>
  </si>
  <si>
    <t xml:space="preserve">  MONTH 1: JUNE — Breath &amp; Resonance (15–20 min/day)</t>
  </si>
  <si>
    <t>Daily</t>
  </si>
  <si>
    <t>Diaphragmatic breathing: 4-2-6 count, belly-first, 3 minutes</t>
  </si>
  <si>
    <t>Roger Love 'Set Your Voice Free' (Ch. 1–2)</t>
  </si>
  <si>
    <t>Humming + lip trills: start at comfortable pitch, slide up and down, 3 minutes</t>
  </si>
  <si>
    <t>Roger Love vocal warmup exercises</t>
  </si>
  <si>
    <t>Articulation drills: 'Red leather yellow leather' / 'Unique New York' at slow then fast pace</t>
  </si>
  <si>
    <t>Toastmasters tongue twister sets</t>
  </si>
  <si>
    <t>Paced reading aloud: any text, 80% of natural speed, 4 minutes; record on phone</t>
  </si>
  <si>
    <t>Your own voice memos</t>
  </si>
  <si>
    <t>Weekly</t>
  </si>
  <si>
    <t>Listen back to Monday's recording; note one thing to improve</t>
  </si>
  <si>
    <t>W1–2</t>
  </si>
  <si>
    <t>Posture awareness: stand or sit tall when speaking; check shoulder and jaw tension</t>
  </si>
  <si>
    <t>Julian Treasure TED talk on speaking</t>
  </si>
  <si>
    <t>W3–4</t>
  </si>
  <si>
    <t>Resonance placement: feel the vibration in chest vs head voice; practise both registers</t>
  </si>
  <si>
    <t>Roger Love 'Set Your Voice Free' (Ch. 3)</t>
  </si>
  <si>
    <t>Baseline recording: record a 2-minute pitch. This is your Month 1 reference.</t>
  </si>
  <si>
    <t>Loom or Voice Memos — label clearly</t>
  </si>
  <si>
    <t xml:space="preserve">  MONTH 2: JULY — Pace, Articulation &amp; Pause</t>
  </si>
  <si>
    <t>Continue daily 16-min routine from Month 1</t>
  </si>
  <si>
    <t>Habit maintained from June</t>
  </si>
  <si>
    <t>Deliberate pause practice: read a paragraph aloud and insert a 1-second pause after each sentence</t>
  </si>
  <si>
    <t>Any text; focus on resisting the urge to rush</t>
  </si>
  <si>
    <t>Transcribe 1 minute of your own recording using Otter.ai; count filler words</t>
  </si>
  <si>
    <t>Otter.ai (free tier)</t>
  </si>
  <si>
    <t>Consonant crispness: over-articulate 't', 'd', 'p', 'b' at the end of words — then normalise</t>
  </si>
  <si>
    <t>Classic actor vocal training exercises</t>
  </si>
  <si>
    <t>Pace variation: read the same paragraph at 3 speeds (slow, normal, fast) — feel the difference</t>
  </si>
  <si>
    <t>Your own recordings; compare the effect</t>
  </si>
  <si>
    <t>Record a 3-min monologue on any technical topic; count: umms, likes, you-knows</t>
  </si>
  <si>
    <t>Voice Memos; review with transcript</t>
  </si>
  <si>
    <t>Eliminate top filler word for 1 week: replace 'um' with a pause — measure the change</t>
  </si>
  <si>
    <t>Transcript comparison</t>
  </si>
  <si>
    <t>Present a 5-min topic to a friend or colleague; ask for pace and clarity feedback</t>
  </si>
  <si>
    <t>Real conversation practice</t>
  </si>
  <si>
    <t xml:space="preserve">  MONTH 3: AUGUST — Projection, Tonality &amp; Command</t>
  </si>
  <si>
    <t>Continue full daily routine; add 2 min of projection practice (speak to back of room)</t>
  </si>
  <si>
    <t>Project from diaphragm, not throat</t>
  </si>
  <si>
    <t>Vocal variety drill: read the same sentence with 3 different emotions — engage your tonal range</t>
  </si>
  <si>
    <t>Any paragraph; experiment freely</t>
  </si>
  <si>
    <t>Confident word endings: do NOT drop your voice at the end of statements (downward inflection)</t>
  </si>
  <si>
    <t>Record and check: does your energy stay up to the last word?</t>
  </si>
  <si>
    <t>Tonality map: identify your 3 go-to tones (explaining, persuading, questioning) — practise each</t>
  </si>
  <si>
    <t>Roger Love on tonal variety</t>
  </si>
  <si>
    <t>Live presentation: deliver a 5-min talk in a real meeting, webinar, or event</t>
  </si>
  <si>
    <t>Request 2 pieces of specific voice feedback afterwards</t>
  </si>
  <si>
    <t>Synapse Debugger pitch: record the full 2-min pitch — your Month 3 reference recording</t>
  </si>
  <si>
    <t>Compare to your Month 1 baseline from Week 4</t>
  </si>
  <si>
    <t>Side-by-side comparison: listen to Month 1 vs Month 3 recordings; write what changed</t>
  </si>
  <si>
    <t>Note: pace, resonance, filler frequency, confidence</t>
  </si>
  <si>
    <t>Voice maintenance plan: write a 10-min weekly routine you will continue after August</t>
  </si>
  <si>
    <t>Your own reference document</t>
  </si>
  <si>
    <t>📚  Master Resource Library</t>
  </si>
  <si>
    <t>All resources for the 3-month plan. Use the 'Status' column to track: Not Started / Reading / Done.</t>
  </si>
  <si>
    <t>Title / Resource</t>
  </si>
  <si>
    <t>Type</t>
  </si>
  <si>
    <t>Pillar</t>
  </si>
  <si>
    <t>Andrej Karpathy — 'Neural Networks: Zero to Hero'</t>
  </si>
  <si>
    <t>YouTube</t>
  </si>
  <si>
    <t>🧠 LLM</t>
  </si>
  <si>
    <t>⬜ Not Started</t>
  </si>
  <si>
    <t>Paper</t>
  </si>
  <si>
    <t>InstructGPT Paper (Ouyang et al., 2022)</t>
  </si>
  <si>
    <t>DPO Paper (Rafailov et al., 2023)</t>
  </si>
  <si>
    <t>Constitutional AI Paper (Bai et al., 2022)</t>
  </si>
  <si>
    <t>Lilian Weng's Blog (lilianweng.github.io)</t>
  </si>
  <si>
    <t>Blog</t>
  </si>
  <si>
    <t>Sebastian Raschka — 'Build an LLM from Scratch'</t>
  </si>
  <si>
    <t>Book/Code</t>
  </si>
  <si>
    <t>Hugging Face Course</t>
  </si>
  <si>
    <t>Course</t>
  </si>
  <si>
    <t>Mamba Paper (Gu &amp; Dao, 2023)</t>
  </si>
  <si>
    <t>NVIDIA CUDA Programming Guide</t>
  </si>
  <si>
    <t>Docs</t>
  </si>
  <si>
    <t>⚡ HW</t>
  </si>
  <si>
    <t>Tim Dettmers — 'GPU for Deep Learning' blog</t>
  </si>
  <si>
    <t>FlashAttention-2 Paper (Dao, 2023)</t>
  </si>
  <si>
    <t>vLLM Paper (Kwon et al., 2023)</t>
  </si>
  <si>
    <t>Apple MLX Documentation</t>
  </si>
  <si>
    <t>Groq Architecture Whitepaper</t>
  </si>
  <si>
    <t>Whitepaper</t>
  </si>
  <si>
    <t>GPU Mode Lecture Series</t>
  </si>
  <si>
    <t>Video</t>
  </si>
  <si>
    <t>Roofline Model Paper (Williams et al.)</t>
  </si>
  <si>
    <t>Book</t>
  </si>
  <si>
    <t>🤝 Sales</t>
  </si>
  <si>
    <t>SPIN Selling — Neil Rackham</t>
  </si>
  <si>
    <t>30 Minutes to President's Club (podcast)</t>
  </si>
  <si>
    <t>Podcast</t>
  </si>
  <si>
    <t>Never Split the Difference — Chris Voss</t>
  </si>
  <si>
    <t>ROS2 Documentation (docs.ros.org)</t>
  </si>
  <si>
    <t>The Pyramid Principle — Barbara Minto</t>
  </si>
  <si>
    <t>🗣️ Comm</t>
  </si>
  <si>
    <t>On Writing Well — William Zinsser</t>
  </si>
  <si>
    <t>The Elements of Style — Strunk &amp; White</t>
  </si>
  <si>
    <t>Smart Brevity — Axios / Springer</t>
  </si>
  <si>
    <t>Tool</t>
  </si>
  <si>
    <t>Crucial Conversations — Patterson et al.</t>
  </si>
  <si>
    <t>Roger Love — 'Set Your Voice Free'</t>
  </si>
  <si>
    <t>Book/Audio</t>
  </si>
  <si>
    <t>🎙️ Voice</t>
  </si>
  <si>
    <t>Julian Treasure — TED Talk on speaking</t>
  </si>
  <si>
    <t>Toastmasters International</t>
  </si>
  <si>
    <t>Community</t>
  </si>
  <si>
    <t>Otter.ai (transcription)</t>
  </si>
  <si>
    <t>Voice Memos (daily recordings)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</si>
</sst>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&quot; (&quot;ddd\)"/>
    <numFmt numFmtId="165" formatCode="0.0"/>
  </numFmts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A8BAD0"/>
      <name val="Arial"/>
      <charset val="1"/>
    </font>
    <font>
      <b/>
      <sz val="11"/>
      <color rgb="FFFFFFFF"/>
      <name val="Arial"/>
      <charset val="1"/>
    </font>
    <font>
      <b/>
      <sz val="11"/>
      <color rgb="FF1F3864"/>
      <name val="Arial"/>
      <charset val="1"/>
    </font>
    <font>
      <sz val="11"/>
      <color rgb="FF595959"/>
      <name val="Arial"/>
      <charset val="1"/>
    </font>
    <font>
      <b/>
      <sz val="11"/>
      <color rgb="FF2E5FA3"/>
      <name val="Arial"/>
      <charset val="1"/>
    </font>
    <font>
      <b/>
      <sz val="11"/>
      <color rgb="FF1E7A43"/>
      <name val="Arial"/>
      <charset val="1"/>
    </font>
    <font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6"/>
      <color rgb="FFFFFFFF"/>
      <name val="Arial"/>
      <charset val="1"/>
    </font>
    <font>
      <i/>
      <sz val="10"/>
      <color rgb="FFA8BAD0"/>
      <name val="Arial"/>
      <charset val="1"/>
    </font>
    <font>
      <sz val="10"/>
      <color rgb="FF1F3864"/>
      <name val="Arial"/>
      <charset val="1"/>
    </font>
    <font>
      <b/>
      <sz val="10"/>
      <color rgb="FFC9762A"/>
      <name val="Arial"/>
      <charset val="1"/>
    </font>
    <font>
      <i/>
      <sz val="10"/>
      <color rgb="FFC9762A"/>
      <name val="Arial"/>
      <charset val="1"/>
    </font>
    <font>
      <i/>
      <sz val="10"/>
      <color rgb="FFD0D0D0"/>
      <name val="Arial"/>
      <charset val="1"/>
    </font>
    <font>
      <sz val="10"/>
      <color rgb="FF1A1A2E"/>
      <name val="Arial"/>
      <charset val="1"/>
    </font>
    <font>
      <sz val="10"/>
      <color rgb="FF59595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4F7"/>
      </patternFill>
    </fill>
    <fill>
      <patternFill patternType="solid">
        <fgColor rgb="FFFFFFFF"/>
        <bgColor rgb="FFFFF9F0"/>
      </patternFill>
    </fill>
    <fill>
      <patternFill patternType="solid">
        <fgColor rgb="FFF2F4F7"/>
        <bgColor rgb="FFEBF3FB"/>
      </patternFill>
    </fill>
    <fill>
      <patternFill patternType="solid">
        <fgColor rgb="FF4A90D9"/>
        <bgColor rgb="FF339966"/>
      </patternFill>
    </fill>
    <fill>
      <patternFill patternType="solid">
        <fgColor rgb="FF2E5FA3"/>
        <bgColor rgb="FF0E7C86"/>
      </patternFill>
    </fill>
    <fill>
      <patternFill patternType="solid">
        <fgColor rgb="FF0E7C86"/>
        <bgColor rgb="FF1E7A43"/>
      </patternFill>
    </fill>
    <fill>
      <patternFill patternType="solid">
        <fgColor rgb="FFC9762A"/>
        <bgColor rgb="FFB54A00"/>
      </patternFill>
    </fill>
    <fill>
      <patternFill patternType="solid">
        <fgColor rgb="FF7B3F8E"/>
        <bgColor rgb="FF993366"/>
      </patternFill>
    </fill>
    <fill>
      <patternFill patternType="solid">
        <fgColor rgb="FFB54A00"/>
        <bgColor rgb="FFC9762A"/>
      </patternFill>
    </fill>
    <fill>
      <patternFill patternType="solid">
        <fgColor rgb="FFFFF9F0"/>
        <bgColor rgb="FFFFFFFF"/>
      </patternFill>
    </fill>
    <fill>
      <patternFill patternType="solid">
        <fgColor rgb="FFE0F5F5"/>
        <bgColor rgb="FFEBF3FB"/>
      </patternFill>
    </fill>
    <fill>
      <patternFill patternType="solid">
        <fgColor rgb="FFFFF3E0"/>
        <bgColor rgb="FFFFF9F0"/>
      </patternFill>
    </fill>
    <fill>
      <patternFill patternType="solid">
        <fgColor rgb="FFF3E5F5"/>
        <bgColor rgb="FFFBE9E7"/>
      </patternFill>
    </fill>
    <fill>
      <patternFill patternType="solid">
        <fgColor rgb="FFFBE9E7"/>
        <bgColor rgb="FFF3E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7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164" fontId="14" fillId="4" borderId="1" xfId="0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164" fontId="15" fillId="12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3" fillId="2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17" fillId="11" borderId="0" xfId="0" applyFont="1" applyFill="1" applyAlignment="1">
      <alignment horizontal="left" vertical="center"/>
    </xf>
    <xf numFmtId="0" fontId="9" fillId="11" borderId="2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CCCCC"/>
      <rgbColor rgb="FF808080"/>
      <rgbColor rgb="FF9999FF"/>
      <rgbColor rgb="FF7B3F8E"/>
      <rgbColor rgb="FFFFF3E0"/>
      <rgbColor rgb="FFE0F5F5"/>
      <rgbColor rgb="FF660066"/>
      <rgbColor rgb="FFFF8080"/>
      <rgbColor rgb="FF2E5FA3"/>
      <rgbColor rgb="FFD0D0D0"/>
      <rgbColor rgb="FF000080"/>
      <rgbColor rgb="FFFF00FF"/>
      <rgbColor rgb="FFFFFF00"/>
      <rgbColor rgb="FF00FFFF"/>
      <rgbColor rgb="FF800080"/>
      <rgbColor rgb="FF800000"/>
      <rgbColor rgb="FF1E7A43"/>
      <rgbColor rgb="FF0000FF"/>
      <rgbColor rgb="FF00CCFF"/>
      <rgbColor rgb="FFEBF3FB"/>
      <rgbColor rgb="FFF2F4F7"/>
      <rgbColor rgb="FFFFF9F0"/>
      <rgbColor rgb="FFA8BAD0"/>
      <rgbColor rgb="FFF3E5F5"/>
      <rgbColor rgb="FFCC99FF"/>
      <rgbColor rgb="FFFBE9E7"/>
      <rgbColor rgb="FF4A90D9"/>
      <rgbColor rgb="FF33CCCC"/>
      <rgbColor rgb="FF99CC00"/>
      <rgbColor rgb="FFFFCC00"/>
      <rgbColor rgb="FFFF9900"/>
      <rgbColor rgb="FFC9762A"/>
      <rgbColor rgb="FF595959"/>
      <rgbColor rgb="FF969696"/>
      <rgbColor rgb="FF1F3864"/>
      <rgbColor rgb="FF339966"/>
      <rgbColor rgb="FF003300"/>
      <rgbColor rgb="FF333300"/>
      <rgbColor rgb="FFB54A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7"/>
  <sheetViews>
    <sheetView showGridLines="0" zoomScaleNormal="100" workbookViewId="0">
      <pane ySplit="4" topLeftCell="A5" activePane="bottomLeft" state="frozen"/>
      <selection pane="bottomLeft" activeCell="B35" sqref="B35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8" width="16" customWidth="1"/>
    <col min="9" max="9" width="2" customWidth="1"/>
  </cols>
  <sheetData>
    <row r="1" spans="2:8" ht="42" customHeight="1" x14ac:dyDescent="0.2">
      <c r="B1" s="14" t="s">
        <v>0</v>
      </c>
      <c r="C1" s="14"/>
      <c r="D1" s="14"/>
      <c r="E1" s="14"/>
      <c r="F1" s="14"/>
      <c r="G1" s="14"/>
      <c r="H1" s="14"/>
    </row>
    <row r="2" spans="2:8" ht="21.75" customHeight="1" x14ac:dyDescent="0.2">
      <c r="B2" s="13" t="s">
        <v>1</v>
      </c>
      <c r="C2" s="13"/>
      <c r="D2" s="13"/>
      <c r="E2" s="13"/>
      <c r="F2" s="13"/>
      <c r="G2" s="13"/>
      <c r="H2" s="13"/>
    </row>
    <row r="3" spans="2:8" ht="6" customHeight="1" x14ac:dyDescent="0.2">
      <c r="B3" s="12"/>
      <c r="C3" s="12"/>
      <c r="D3" s="12"/>
      <c r="E3" s="12"/>
      <c r="F3" s="12"/>
      <c r="G3" s="12"/>
      <c r="H3" s="12"/>
    </row>
    <row r="4" spans="2:8" ht="7.5" customHeight="1" x14ac:dyDescent="0.2"/>
    <row r="5" spans="2:8" ht="21.75" customHeight="1" x14ac:dyDescent="0.2">
      <c r="B5" s="16" t="s">
        <v>2</v>
      </c>
      <c r="C5" s="17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7" t="s">
        <v>8</v>
      </c>
    </row>
    <row r="6" spans="2:8" ht="19.5" customHeight="1" x14ac:dyDescent="0.2">
      <c r="B6" s="18" t="s">
        <v>9</v>
      </c>
      <c r="C6" s="19">
        <v>72</v>
      </c>
      <c r="D6" s="20">
        <f>'📅 Weekly Log'!C100</f>
        <v>0</v>
      </c>
      <c r="E6" s="21">
        <f>IF(C6=0,0,D6/C6)</f>
        <v>0</v>
      </c>
      <c r="F6" s="22" t="s">
        <v>10</v>
      </c>
      <c r="G6" s="22" t="s">
        <v>10</v>
      </c>
      <c r="H6" s="22" t="s">
        <v>10</v>
      </c>
    </row>
    <row r="7" spans="2:8" ht="19.5" customHeight="1" x14ac:dyDescent="0.2">
      <c r="B7" s="23" t="s">
        <v>11</v>
      </c>
      <c r="C7" s="24">
        <v>72</v>
      </c>
      <c r="D7" s="25">
        <f>'📅 Weekly Log'!D100</f>
        <v>0</v>
      </c>
      <c r="E7" s="26">
        <f>IF(C7=0,0,D7/C7)</f>
        <v>0</v>
      </c>
      <c r="F7" s="27" t="s">
        <v>10</v>
      </c>
      <c r="G7" s="27" t="s">
        <v>10</v>
      </c>
      <c r="H7" s="27" t="s">
        <v>10</v>
      </c>
    </row>
    <row r="8" spans="2:8" ht="19.5" customHeight="1" x14ac:dyDescent="0.2">
      <c r="B8" s="18" t="s">
        <v>12</v>
      </c>
      <c r="C8" s="19">
        <v>72</v>
      </c>
      <c r="D8" s="20">
        <f>'📅 Weekly Log'!E100</f>
        <v>0</v>
      </c>
      <c r="E8" s="21">
        <f>IF(C8=0,0,D8/C8)</f>
        <v>0</v>
      </c>
      <c r="F8" s="22" t="s">
        <v>10</v>
      </c>
      <c r="G8" s="22" t="s">
        <v>10</v>
      </c>
      <c r="H8" s="22" t="s">
        <v>10</v>
      </c>
    </row>
    <row r="9" spans="2:8" ht="19.5" customHeight="1" x14ac:dyDescent="0.2">
      <c r="B9" s="23" t="s">
        <v>13</v>
      </c>
      <c r="C9" s="24">
        <v>54</v>
      </c>
      <c r="D9" s="25">
        <f>'📅 Weekly Log'!F100</f>
        <v>0</v>
      </c>
      <c r="E9" s="26">
        <f>IF(C9=0,0,D9/C9)</f>
        <v>0</v>
      </c>
      <c r="F9" s="27" t="s">
        <v>10</v>
      </c>
      <c r="G9" s="27" t="s">
        <v>10</v>
      </c>
      <c r="H9" s="27" t="s">
        <v>10</v>
      </c>
    </row>
    <row r="10" spans="2:8" ht="19.5" customHeight="1" x14ac:dyDescent="0.2">
      <c r="B10" s="18" t="s">
        <v>14</v>
      </c>
      <c r="C10" s="19">
        <v>36</v>
      </c>
      <c r="D10" s="20">
        <f>'📅 Weekly Log'!G100</f>
        <v>0</v>
      </c>
      <c r="E10" s="21">
        <f>IF(C10=0,0,D10/C10)</f>
        <v>0</v>
      </c>
      <c r="F10" s="22" t="s">
        <v>10</v>
      </c>
      <c r="G10" s="22" t="s">
        <v>10</v>
      </c>
      <c r="H10" s="22" t="s">
        <v>10</v>
      </c>
    </row>
    <row r="12" spans="2:8" ht="7.5" customHeight="1" x14ac:dyDescent="0.2"/>
    <row r="13" spans="2:8" ht="18" customHeight="1" x14ac:dyDescent="0.2">
      <c r="B13" s="11" t="s">
        <v>15</v>
      </c>
      <c r="C13" s="11"/>
      <c r="D13" s="11"/>
      <c r="E13" s="11"/>
      <c r="F13" s="11"/>
      <c r="G13" s="11"/>
      <c r="H13" s="11"/>
    </row>
    <row r="15" spans="2:8" ht="24" customHeight="1" x14ac:dyDescent="0.2">
      <c r="B15" s="10" t="s">
        <v>16</v>
      </c>
      <c r="C15" s="10"/>
      <c r="D15" s="10"/>
      <c r="E15" s="10"/>
      <c r="F15" s="10"/>
      <c r="G15" s="10"/>
      <c r="H15" s="10"/>
    </row>
    <row r="16" spans="2:8" ht="18" customHeight="1" x14ac:dyDescent="0.2">
      <c r="B16" s="29" t="s">
        <v>17</v>
      </c>
      <c r="C16" s="29" t="s">
        <v>18</v>
      </c>
      <c r="D16" s="29" t="s">
        <v>19</v>
      </c>
      <c r="E16" s="29" t="s">
        <v>20</v>
      </c>
      <c r="F16" s="29" t="s">
        <v>21</v>
      </c>
      <c r="G16" s="29" t="s">
        <v>22</v>
      </c>
      <c r="H16" s="29" t="s">
        <v>23</v>
      </c>
    </row>
    <row r="17" spans="2:8" ht="18" customHeight="1" x14ac:dyDescent="0.2">
      <c r="B17" s="30" t="s">
        <v>24</v>
      </c>
      <c r="C17" s="27"/>
      <c r="D17" s="27"/>
      <c r="E17" s="27"/>
      <c r="F17" s="27"/>
      <c r="G17" s="27"/>
      <c r="H17" s="27"/>
    </row>
    <row r="18" spans="2:8" ht="18" customHeight="1" x14ac:dyDescent="0.2">
      <c r="B18" s="30" t="s">
        <v>25</v>
      </c>
      <c r="C18" s="27"/>
      <c r="D18" s="27"/>
      <c r="E18" s="27"/>
      <c r="F18" s="27"/>
      <c r="G18" s="27"/>
      <c r="H18" s="27"/>
    </row>
    <row r="19" spans="2:8" ht="18" customHeight="1" x14ac:dyDescent="0.2">
      <c r="B19" s="30" t="s">
        <v>26</v>
      </c>
      <c r="C19" s="27"/>
      <c r="D19" s="27"/>
      <c r="E19" s="27"/>
      <c r="F19" s="27"/>
      <c r="G19" s="27"/>
      <c r="H19" s="27"/>
    </row>
    <row r="22" spans="2:8" ht="24" customHeight="1" x14ac:dyDescent="0.2">
      <c r="B22" s="10" t="s">
        <v>27</v>
      </c>
      <c r="C22" s="10"/>
      <c r="D22" s="10"/>
      <c r="E22" s="10"/>
      <c r="F22" s="10"/>
      <c r="G22" s="10"/>
      <c r="H22" s="10"/>
    </row>
    <row r="23" spans="2:8" ht="19.5" customHeight="1" x14ac:dyDescent="0.2">
      <c r="B23" s="9" t="s">
        <v>28</v>
      </c>
      <c r="C23" s="9"/>
      <c r="D23" s="9"/>
      <c r="E23" s="9"/>
      <c r="F23" s="9"/>
      <c r="G23" s="9"/>
      <c r="H23" s="9"/>
    </row>
    <row r="24" spans="2:8" ht="19.5" customHeight="1" x14ac:dyDescent="0.2">
      <c r="B24" s="30" t="s">
        <v>29</v>
      </c>
      <c r="C24" s="8"/>
      <c r="D24" s="8"/>
      <c r="E24" s="8"/>
      <c r="F24" s="8"/>
      <c r="G24" s="8"/>
      <c r="H24" s="8"/>
    </row>
    <row r="25" spans="2:8" ht="19.5" customHeight="1" x14ac:dyDescent="0.2">
      <c r="B25" s="30" t="s">
        <v>30</v>
      </c>
      <c r="C25" s="8"/>
      <c r="D25" s="8"/>
      <c r="E25" s="8"/>
      <c r="F25" s="8"/>
      <c r="G25" s="8"/>
      <c r="H25" s="8"/>
    </row>
    <row r="26" spans="2:8" ht="19.5" customHeight="1" x14ac:dyDescent="0.2">
      <c r="B26" s="30" t="s">
        <v>31</v>
      </c>
      <c r="C26" s="8"/>
      <c r="D26" s="8"/>
      <c r="E26" s="8"/>
      <c r="F26" s="8"/>
      <c r="G26" s="8"/>
      <c r="H26" s="8"/>
    </row>
    <row r="27" spans="2:8" ht="6" customHeight="1" x14ac:dyDescent="0.2"/>
    <row r="28" spans="2:8" ht="19.5" customHeight="1" x14ac:dyDescent="0.2">
      <c r="B28" s="7" t="s">
        <v>32</v>
      </c>
      <c r="C28" s="7"/>
      <c r="D28" s="7"/>
      <c r="E28" s="7"/>
      <c r="F28" s="7"/>
      <c r="G28" s="7"/>
      <c r="H28" s="7"/>
    </row>
    <row r="29" spans="2:8" ht="19.5" customHeight="1" x14ac:dyDescent="0.2">
      <c r="B29" s="30" t="s">
        <v>29</v>
      </c>
      <c r="C29" s="8"/>
      <c r="D29" s="8"/>
      <c r="E29" s="8"/>
      <c r="F29" s="8"/>
      <c r="G29" s="8"/>
      <c r="H29" s="8"/>
    </row>
    <row r="30" spans="2:8" ht="19.5" customHeight="1" x14ac:dyDescent="0.2">
      <c r="B30" s="30" t="s">
        <v>30</v>
      </c>
      <c r="C30" s="8"/>
      <c r="D30" s="8"/>
      <c r="E30" s="8"/>
      <c r="F30" s="8"/>
      <c r="G30" s="8"/>
      <c r="H30" s="8"/>
    </row>
    <row r="31" spans="2:8" ht="19.5" customHeight="1" x14ac:dyDescent="0.2">
      <c r="B31" s="30" t="s">
        <v>31</v>
      </c>
      <c r="C31" s="8"/>
      <c r="D31" s="8"/>
      <c r="E31" s="8"/>
      <c r="F31" s="8"/>
      <c r="G31" s="8"/>
      <c r="H31" s="8"/>
    </row>
    <row r="32" spans="2:8" ht="6" customHeight="1" x14ac:dyDescent="0.2"/>
    <row r="33" spans="2:8" ht="19.5" customHeight="1" x14ac:dyDescent="0.2">
      <c r="B33" s="6" t="s">
        <v>33</v>
      </c>
      <c r="C33" s="6"/>
      <c r="D33" s="6"/>
      <c r="E33" s="6"/>
      <c r="F33" s="6"/>
      <c r="G33" s="6"/>
      <c r="H33" s="6"/>
    </row>
    <row r="34" spans="2:8" ht="19.5" customHeight="1" x14ac:dyDescent="0.2">
      <c r="B34" s="30" t="s">
        <v>29</v>
      </c>
      <c r="C34" s="8"/>
      <c r="D34" s="8"/>
      <c r="E34" s="8"/>
      <c r="F34" s="8"/>
      <c r="G34" s="8"/>
      <c r="H34" s="8"/>
    </row>
    <row r="35" spans="2:8" ht="19.5" customHeight="1" x14ac:dyDescent="0.2">
      <c r="B35" s="30" t="s">
        <v>30</v>
      </c>
      <c r="C35" s="8"/>
      <c r="D35" s="8"/>
      <c r="E35" s="8"/>
      <c r="F35" s="8"/>
      <c r="G35" s="8"/>
      <c r="H35" s="8"/>
    </row>
    <row r="36" spans="2:8" ht="19.5" customHeight="1" x14ac:dyDescent="0.2">
      <c r="B36" s="30" t="s">
        <v>31</v>
      </c>
      <c r="C36" s="8"/>
      <c r="D36" s="8"/>
      <c r="E36" s="8"/>
      <c r="F36" s="8"/>
      <c r="G36" s="8"/>
      <c r="H36" s="8"/>
    </row>
    <row r="37" spans="2:8" ht="6" customHeight="1" x14ac:dyDescent="0.2"/>
  </sheetData>
  <mergeCells count="18">
    <mergeCell ref="C34:H34"/>
    <mergeCell ref="C35:H35"/>
    <mergeCell ref="C36:H36"/>
    <mergeCell ref="B28:H28"/>
    <mergeCell ref="C29:H29"/>
    <mergeCell ref="C30:H30"/>
    <mergeCell ref="C31:H31"/>
    <mergeCell ref="B33:H33"/>
    <mergeCell ref="B22:H22"/>
    <mergeCell ref="B23:H23"/>
    <mergeCell ref="C24:H24"/>
    <mergeCell ref="C25:H25"/>
    <mergeCell ref="C26:H26"/>
    <mergeCell ref="B1:H1"/>
    <mergeCell ref="B2:H2"/>
    <mergeCell ref="B3:H3"/>
    <mergeCell ref="B13:H13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U18" sqref="U18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3" width="12" customWidth="1"/>
    <col min="4" max="8" width="10" customWidth="1"/>
    <col min="9" max="9" width="14" customWidth="1"/>
    <col min="10" max="10" width="16" customWidth="1"/>
    <col min="11" max="11" width="2" customWidth="1"/>
  </cols>
  <sheetData>
    <row r="1" spans="2:10" ht="36" customHeight="1" x14ac:dyDescent="0.2">
      <c r="B1" s="5" t="s">
        <v>34</v>
      </c>
      <c r="C1" s="5"/>
      <c r="D1" s="5"/>
      <c r="E1" s="5"/>
      <c r="F1" s="5"/>
      <c r="G1" s="5"/>
      <c r="H1" s="5"/>
      <c r="I1" s="5"/>
      <c r="J1" s="5"/>
    </row>
    <row r="2" spans="2:10" ht="18" customHeight="1" x14ac:dyDescent="0.2">
      <c r="B2" s="4" t="s">
        <v>35</v>
      </c>
      <c r="C2" s="4"/>
      <c r="D2" s="4"/>
      <c r="E2" s="4"/>
      <c r="F2" s="4"/>
      <c r="G2" s="4"/>
      <c r="H2" s="4"/>
      <c r="I2" s="4"/>
      <c r="J2" s="4"/>
    </row>
    <row r="3" spans="2:10" ht="7.5" customHeight="1" x14ac:dyDescent="0.2"/>
    <row r="4" spans="2:10" ht="31.5" customHeight="1" x14ac:dyDescent="0.2">
      <c r="B4" s="34" t="s">
        <v>36</v>
      </c>
      <c r="C4" s="35" t="s">
        <v>37</v>
      </c>
      <c r="D4" s="36" t="s">
        <v>38</v>
      </c>
      <c r="E4" s="37" t="s">
        <v>39</v>
      </c>
      <c r="F4" s="38" t="s">
        <v>40</v>
      </c>
      <c r="G4" s="39" t="s">
        <v>41</v>
      </c>
      <c r="H4" s="34" t="s">
        <v>42</v>
      </c>
      <c r="I4" s="34" t="s">
        <v>43</v>
      </c>
      <c r="J4" s="34" t="s">
        <v>44</v>
      </c>
    </row>
    <row r="5" spans="2:10" ht="15.75" customHeight="1" x14ac:dyDescent="0.2">
      <c r="B5" s="40">
        <v>46174</v>
      </c>
      <c r="C5" s="41"/>
      <c r="D5" s="41"/>
      <c r="E5" s="41"/>
      <c r="F5" s="41"/>
      <c r="G5" s="41"/>
      <c r="H5" s="42">
        <f t="shared" ref="H5:H10" si="0">SUM(C5:F5)</f>
        <v>0</v>
      </c>
      <c r="I5" s="43"/>
      <c r="J5" s="44"/>
    </row>
    <row r="6" spans="2:10" ht="15.75" customHeight="1" x14ac:dyDescent="0.2">
      <c r="B6" s="45">
        <v>46175</v>
      </c>
      <c r="C6" s="46"/>
      <c r="D6" s="46"/>
      <c r="E6" s="46"/>
      <c r="F6" s="46"/>
      <c r="G6" s="46"/>
      <c r="H6" s="47">
        <f t="shared" si="0"/>
        <v>0</v>
      </c>
      <c r="I6" s="48"/>
      <c r="J6" s="49"/>
    </row>
    <row r="7" spans="2:10" ht="15.75" customHeight="1" x14ac:dyDescent="0.2">
      <c r="B7" s="40">
        <v>46176</v>
      </c>
      <c r="C7" s="41"/>
      <c r="D7" s="41"/>
      <c r="E7" s="41"/>
      <c r="F7" s="41"/>
      <c r="G7" s="41"/>
      <c r="H7" s="42">
        <f t="shared" si="0"/>
        <v>0</v>
      </c>
      <c r="I7" s="43"/>
      <c r="J7" s="44"/>
    </row>
    <row r="8" spans="2:10" ht="15.75" customHeight="1" x14ac:dyDescent="0.2">
      <c r="B8" s="45">
        <v>46177</v>
      </c>
      <c r="C8" s="46"/>
      <c r="D8" s="46"/>
      <c r="E8" s="46"/>
      <c r="F8" s="46"/>
      <c r="G8" s="46"/>
      <c r="H8" s="47">
        <f t="shared" si="0"/>
        <v>0</v>
      </c>
      <c r="I8" s="48"/>
      <c r="J8" s="49"/>
    </row>
    <row r="9" spans="2:10" ht="15.75" customHeight="1" x14ac:dyDescent="0.2">
      <c r="B9" s="40">
        <v>46178</v>
      </c>
      <c r="C9" s="41"/>
      <c r="D9" s="41"/>
      <c r="E9" s="41"/>
      <c r="F9" s="41"/>
      <c r="G9" s="41"/>
      <c r="H9" s="42">
        <f t="shared" si="0"/>
        <v>0</v>
      </c>
      <c r="I9" s="43"/>
      <c r="J9" s="44"/>
    </row>
    <row r="10" spans="2:10" ht="15.75" customHeight="1" x14ac:dyDescent="0.2">
      <c r="B10" s="45">
        <v>46179</v>
      </c>
      <c r="C10" s="46"/>
      <c r="D10" s="46"/>
      <c r="E10" s="46"/>
      <c r="F10" s="46"/>
      <c r="G10" s="46"/>
      <c r="H10" s="47">
        <f t="shared" si="0"/>
        <v>0</v>
      </c>
      <c r="I10" s="48"/>
      <c r="J10" s="49"/>
    </row>
    <row r="11" spans="2:10" ht="15.75" customHeight="1" x14ac:dyDescent="0.2">
      <c r="B11" s="50">
        <v>46180</v>
      </c>
      <c r="C11" s="3" t="s">
        <v>45</v>
      </c>
      <c r="D11" s="3"/>
      <c r="E11" s="3"/>
      <c r="F11" s="3"/>
      <c r="G11" s="3"/>
      <c r="H11" s="3"/>
      <c r="I11" s="3"/>
      <c r="J11" s="51"/>
    </row>
    <row r="12" spans="2:10" ht="15.75" customHeight="1" x14ac:dyDescent="0.2">
      <c r="B12" s="45">
        <v>46181</v>
      </c>
      <c r="C12" s="46"/>
      <c r="D12" s="46"/>
      <c r="E12" s="46"/>
      <c r="F12" s="46"/>
      <c r="G12" s="46"/>
      <c r="H12" s="47">
        <f t="shared" ref="H12:H17" si="1">SUM(C12:F12)</f>
        <v>0</v>
      </c>
      <c r="I12" s="48"/>
      <c r="J12" s="49"/>
    </row>
    <row r="13" spans="2:10" ht="15.75" customHeight="1" x14ac:dyDescent="0.2">
      <c r="B13" s="40">
        <v>46182</v>
      </c>
      <c r="C13" s="41"/>
      <c r="D13" s="41"/>
      <c r="E13" s="41"/>
      <c r="F13" s="41"/>
      <c r="G13" s="41"/>
      <c r="H13" s="42">
        <f t="shared" si="1"/>
        <v>0</v>
      </c>
      <c r="I13" s="43"/>
      <c r="J13" s="44"/>
    </row>
    <row r="14" spans="2:10" ht="15.75" customHeight="1" x14ac:dyDescent="0.2">
      <c r="B14" s="45">
        <v>46183</v>
      </c>
      <c r="C14" s="46"/>
      <c r="D14" s="46"/>
      <c r="E14" s="46"/>
      <c r="F14" s="46"/>
      <c r="G14" s="46"/>
      <c r="H14" s="47">
        <f t="shared" si="1"/>
        <v>0</v>
      </c>
      <c r="I14" s="48"/>
      <c r="J14" s="49"/>
    </row>
    <row r="15" spans="2:10" ht="15.75" customHeight="1" x14ac:dyDescent="0.2">
      <c r="B15" s="40">
        <v>46184</v>
      </c>
      <c r="C15" s="41"/>
      <c r="D15" s="41"/>
      <c r="E15" s="41"/>
      <c r="F15" s="41"/>
      <c r="G15" s="41"/>
      <c r="H15" s="42">
        <f t="shared" si="1"/>
        <v>0</v>
      </c>
      <c r="I15" s="43"/>
      <c r="J15" s="44"/>
    </row>
    <row r="16" spans="2:10" ht="15.75" customHeight="1" x14ac:dyDescent="0.2">
      <c r="B16" s="45">
        <v>46185</v>
      </c>
      <c r="C16" s="46"/>
      <c r="D16" s="46"/>
      <c r="E16" s="46"/>
      <c r="F16" s="46"/>
      <c r="G16" s="46"/>
      <c r="H16" s="47">
        <f t="shared" si="1"/>
        <v>0</v>
      </c>
      <c r="I16" s="48"/>
      <c r="J16" s="49"/>
    </row>
    <row r="17" spans="2:10" ht="15.75" customHeight="1" x14ac:dyDescent="0.2">
      <c r="B17" s="40">
        <v>46186</v>
      </c>
      <c r="C17" s="41"/>
      <c r="D17" s="41"/>
      <c r="E17" s="41"/>
      <c r="F17" s="41"/>
      <c r="G17" s="41"/>
      <c r="H17" s="42">
        <f t="shared" si="1"/>
        <v>0</v>
      </c>
      <c r="I17" s="43"/>
      <c r="J17" s="44"/>
    </row>
    <row r="18" spans="2:10" ht="15.75" customHeight="1" x14ac:dyDescent="0.2">
      <c r="B18" s="50">
        <v>46187</v>
      </c>
      <c r="C18" s="3" t="s">
        <v>45</v>
      </c>
      <c r="D18" s="3"/>
      <c r="E18" s="3"/>
      <c r="F18" s="3"/>
      <c r="G18" s="3"/>
      <c r="H18" s="3"/>
      <c r="I18" s="3"/>
      <c r="J18" s="51"/>
    </row>
    <row r="19" spans="2:10" ht="15.75" customHeight="1" x14ac:dyDescent="0.2">
      <c r="B19" s="40">
        <v>46188</v>
      </c>
      <c r="C19" s="41"/>
      <c r="D19" s="41"/>
      <c r="E19" s="41"/>
      <c r="F19" s="41"/>
      <c r="G19" s="41"/>
      <c r="H19" s="42">
        <f t="shared" ref="H19:H24" si="2">SUM(C19:F19)</f>
        <v>0</v>
      </c>
      <c r="I19" s="43"/>
      <c r="J19" s="44"/>
    </row>
    <row r="20" spans="2:10" ht="15.75" customHeight="1" x14ac:dyDescent="0.2">
      <c r="B20" s="45">
        <v>46189</v>
      </c>
      <c r="C20" s="46"/>
      <c r="D20" s="46"/>
      <c r="E20" s="46"/>
      <c r="F20" s="46"/>
      <c r="G20" s="46"/>
      <c r="H20" s="47">
        <f t="shared" si="2"/>
        <v>0</v>
      </c>
      <c r="I20" s="48"/>
      <c r="J20" s="49"/>
    </row>
    <row r="21" spans="2:10" ht="15.75" customHeight="1" x14ac:dyDescent="0.2">
      <c r="B21" s="40">
        <v>46190</v>
      </c>
      <c r="C21" s="41"/>
      <c r="D21" s="41"/>
      <c r="E21" s="41"/>
      <c r="F21" s="41"/>
      <c r="G21" s="41"/>
      <c r="H21" s="42">
        <f t="shared" si="2"/>
        <v>0</v>
      </c>
      <c r="I21" s="43"/>
      <c r="J21" s="44"/>
    </row>
    <row r="22" spans="2:10" ht="15.75" customHeight="1" x14ac:dyDescent="0.2">
      <c r="B22" s="45">
        <v>46191</v>
      </c>
      <c r="C22" s="46"/>
      <c r="D22" s="46"/>
      <c r="E22" s="46"/>
      <c r="F22" s="46"/>
      <c r="G22" s="46"/>
      <c r="H22" s="47">
        <f t="shared" si="2"/>
        <v>0</v>
      </c>
      <c r="I22" s="48"/>
      <c r="J22" s="49"/>
    </row>
    <row r="23" spans="2:10" ht="15.75" customHeight="1" x14ac:dyDescent="0.2">
      <c r="B23" s="40">
        <v>46192</v>
      </c>
      <c r="C23" s="41"/>
      <c r="D23" s="41"/>
      <c r="E23" s="41"/>
      <c r="F23" s="41"/>
      <c r="G23" s="41"/>
      <c r="H23" s="42">
        <f t="shared" si="2"/>
        <v>0</v>
      </c>
      <c r="I23" s="43"/>
      <c r="J23" s="44"/>
    </row>
    <row r="24" spans="2:10" ht="15.75" customHeight="1" x14ac:dyDescent="0.2">
      <c r="B24" s="45">
        <v>46193</v>
      </c>
      <c r="C24" s="46"/>
      <c r="D24" s="46"/>
      <c r="E24" s="46"/>
      <c r="F24" s="46"/>
      <c r="G24" s="46"/>
      <c r="H24" s="47">
        <f t="shared" si="2"/>
        <v>0</v>
      </c>
      <c r="I24" s="48"/>
      <c r="J24" s="49"/>
    </row>
    <row r="25" spans="2:10" ht="15.75" customHeight="1" x14ac:dyDescent="0.2">
      <c r="B25" s="50">
        <v>46194</v>
      </c>
      <c r="C25" s="3" t="s">
        <v>45</v>
      </c>
      <c r="D25" s="3"/>
      <c r="E25" s="3"/>
      <c r="F25" s="3"/>
      <c r="G25" s="3"/>
      <c r="H25" s="3"/>
      <c r="I25" s="3"/>
      <c r="J25" s="51"/>
    </row>
    <row r="26" spans="2:10" ht="15.75" customHeight="1" x14ac:dyDescent="0.2">
      <c r="B26" s="45">
        <v>46195</v>
      </c>
      <c r="C26" s="46"/>
      <c r="D26" s="46"/>
      <c r="E26" s="46"/>
      <c r="F26" s="46"/>
      <c r="G26" s="46"/>
      <c r="H26" s="47">
        <f t="shared" ref="H26:H31" si="3">SUM(C26:F26)</f>
        <v>0</v>
      </c>
      <c r="I26" s="48"/>
      <c r="J26" s="49"/>
    </row>
    <row r="27" spans="2:10" ht="15.75" customHeight="1" x14ac:dyDescent="0.2">
      <c r="B27" s="40">
        <v>46196</v>
      </c>
      <c r="C27" s="41"/>
      <c r="D27" s="41"/>
      <c r="E27" s="41"/>
      <c r="F27" s="41"/>
      <c r="G27" s="41"/>
      <c r="H27" s="42">
        <f t="shared" si="3"/>
        <v>0</v>
      </c>
      <c r="I27" s="43"/>
      <c r="J27" s="44"/>
    </row>
    <row r="28" spans="2:10" ht="15.75" customHeight="1" x14ac:dyDescent="0.2">
      <c r="B28" s="45">
        <v>46197</v>
      </c>
      <c r="C28" s="46"/>
      <c r="D28" s="46"/>
      <c r="E28" s="46"/>
      <c r="F28" s="46"/>
      <c r="G28" s="46"/>
      <c r="H28" s="47">
        <f t="shared" si="3"/>
        <v>0</v>
      </c>
      <c r="I28" s="48"/>
      <c r="J28" s="49"/>
    </row>
    <row r="29" spans="2:10" ht="15.75" customHeight="1" x14ac:dyDescent="0.2">
      <c r="B29" s="40">
        <v>46198</v>
      </c>
      <c r="C29" s="41"/>
      <c r="D29" s="41"/>
      <c r="E29" s="41"/>
      <c r="F29" s="41"/>
      <c r="G29" s="41"/>
      <c r="H29" s="42">
        <f t="shared" si="3"/>
        <v>0</v>
      </c>
      <c r="I29" s="43"/>
      <c r="J29" s="44"/>
    </row>
    <row r="30" spans="2:10" ht="15.75" customHeight="1" x14ac:dyDescent="0.2">
      <c r="B30" s="45">
        <v>46199</v>
      </c>
      <c r="C30" s="46"/>
      <c r="D30" s="46"/>
      <c r="E30" s="46"/>
      <c r="F30" s="46"/>
      <c r="G30" s="46"/>
      <c r="H30" s="47">
        <f t="shared" si="3"/>
        <v>0</v>
      </c>
      <c r="I30" s="48"/>
      <c r="J30" s="49"/>
    </row>
    <row r="31" spans="2:10" ht="15.75" customHeight="1" x14ac:dyDescent="0.2">
      <c r="B31" s="40">
        <v>46200</v>
      </c>
      <c r="C31" s="41"/>
      <c r="D31" s="41"/>
      <c r="E31" s="41"/>
      <c r="F31" s="41"/>
      <c r="G31" s="41"/>
      <c r="H31" s="42">
        <f t="shared" si="3"/>
        <v>0</v>
      </c>
      <c r="I31" s="43"/>
      <c r="J31" s="44"/>
    </row>
    <row r="32" spans="2:10" ht="15.75" customHeight="1" x14ac:dyDescent="0.2">
      <c r="B32" s="50">
        <v>46201</v>
      </c>
      <c r="C32" s="3" t="s">
        <v>45</v>
      </c>
      <c r="D32" s="3"/>
      <c r="E32" s="3"/>
      <c r="F32" s="3"/>
      <c r="G32" s="3"/>
      <c r="H32" s="3"/>
      <c r="I32" s="3"/>
      <c r="J32" s="51"/>
    </row>
    <row r="33" spans="2:10" ht="15.75" customHeight="1" x14ac:dyDescent="0.2">
      <c r="B33" s="40">
        <v>46202</v>
      </c>
      <c r="C33" s="41"/>
      <c r="D33" s="41"/>
      <c r="E33" s="41"/>
      <c r="F33" s="41"/>
      <c r="G33" s="41"/>
      <c r="H33" s="42">
        <f t="shared" ref="H33:H38" si="4">SUM(C33:F33)</f>
        <v>0</v>
      </c>
      <c r="I33" s="43"/>
      <c r="J33" s="44"/>
    </row>
    <row r="34" spans="2:10" ht="15.75" customHeight="1" x14ac:dyDescent="0.2">
      <c r="B34" s="45">
        <v>46203</v>
      </c>
      <c r="C34" s="46"/>
      <c r="D34" s="46"/>
      <c r="E34" s="46"/>
      <c r="F34" s="46"/>
      <c r="G34" s="46"/>
      <c r="H34" s="47">
        <f t="shared" si="4"/>
        <v>0</v>
      </c>
      <c r="I34" s="48"/>
      <c r="J34" s="49"/>
    </row>
    <row r="35" spans="2:10" ht="15.75" customHeight="1" x14ac:dyDescent="0.2">
      <c r="B35" s="40">
        <v>46204</v>
      </c>
      <c r="C35" s="41"/>
      <c r="D35" s="41"/>
      <c r="E35" s="41"/>
      <c r="F35" s="41"/>
      <c r="G35" s="41"/>
      <c r="H35" s="42">
        <f t="shared" si="4"/>
        <v>0</v>
      </c>
      <c r="I35" s="43"/>
      <c r="J35" s="44"/>
    </row>
    <row r="36" spans="2:10" ht="15.75" customHeight="1" x14ac:dyDescent="0.2">
      <c r="B36" s="45">
        <v>46205</v>
      </c>
      <c r="C36" s="46"/>
      <c r="D36" s="46"/>
      <c r="E36" s="46"/>
      <c r="F36" s="46"/>
      <c r="G36" s="46"/>
      <c r="H36" s="47">
        <f t="shared" si="4"/>
        <v>0</v>
      </c>
      <c r="I36" s="48"/>
      <c r="J36" s="49"/>
    </row>
    <row r="37" spans="2:10" ht="15.75" customHeight="1" x14ac:dyDescent="0.2">
      <c r="B37" s="40">
        <v>46206</v>
      </c>
      <c r="C37" s="41"/>
      <c r="D37" s="41"/>
      <c r="E37" s="41"/>
      <c r="F37" s="41"/>
      <c r="G37" s="41"/>
      <c r="H37" s="42">
        <f t="shared" si="4"/>
        <v>0</v>
      </c>
      <c r="I37" s="43"/>
      <c r="J37" s="44"/>
    </row>
    <row r="38" spans="2:10" ht="15.75" customHeight="1" x14ac:dyDescent="0.2">
      <c r="B38" s="45">
        <v>46207</v>
      </c>
      <c r="C38" s="46"/>
      <c r="D38" s="46"/>
      <c r="E38" s="46"/>
      <c r="F38" s="46"/>
      <c r="G38" s="46"/>
      <c r="H38" s="47">
        <f t="shared" si="4"/>
        <v>0</v>
      </c>
      <c r="I38" s="48"/>
      <c r="J38" s="49"/>
    </row>
    <row r="39" spans="2:10" ht="15.75" customHeight="1" x14ac:dyDescent="0.2">
      <c r="B39" s="50">
        <v>46208</v>
      </c>
      <c r="C39" s="3" t="s">
        <v>45</v>
      </c>
      <c r="D39" s="3"/>
      <c r="E39" s="3"/>
      <c r="F39" s="3"/>
      <c r="G39" s="3"/>
      <c r="H39" s="3"/>
      <c r="I39" s="3"/>
      <c r="J39" s="51"/>
    </row>
    <row r="40" spans="2:10" ht="15.75" customHeight="1" x14ac:dyDescent="0.2">
      <c r="B40" s="45">
        <v>46209</v>
      </c>
      <c r="C40" s="46"/>
      <c r="D40" s="46"/>
      <c r="E40" s="46"/>
      <c r="F40" s="46"/>
      <c r="G40" s="46"/>
      <c r="H40" s="47">
        <f t="shared" ref="H40:H45" si="5">SUM(C40:F40)</f>
        <v>0</v>
      </c>
      <c r="I40" s="48"/>
      <c r="J40" s="49"/>
    </row>
    <row r="41" spans="2:10" ht="15.75" customHeight="1" x14ac:dyDescent="0.2">
      <c r="B41" s="40">
        <v>46210</v>
      </c>
      <c r="C41" s="41"/>
      <c r="D41" s="41"/>
      <c r="E41" s="41"/>
      <c r="F41" s="41"/>
      <c r="G41" s="41"/>
      <c r="H41" s="42">
        <f t="shared" si="5"/>
        <v>0</v>
      </c>
      <c r="I41" s="43"/>
      <c r="J41" s="44"/>
    </row>
    <row r="42" spans="2:10" ht="15.75" customHeight="1" x14ac:dyDescent="0.2">
      <c r="B42" s="45">
        <v>46211</v>
      </c>
      <c r="C42" s="46"/>
      <c r="D42" s="46"/>
      <c r="E42" s="46"/>
      <c r="F42" s="46"/>
      <c r="G42" s="46"/>
      <c r="H42" s="47">
        <f t="shared" si="5"/>
        <v>0</v>
      </c>
      <c r="I42" s="48"/>
      <c r="J42" s="49"/>
    </row>
    <row r="43" spans="2:10" ht="15.75" customHeight="1" x14ac:dyDescent="0.2">
      <c r="B43" s="40">
        <v>46212</v>
      </c>
      <c r="C43" s="41"/>
      <c r="D43" s="41"/>
      <c r="E43" s="41"/>
      <c r="F43" s="41"/>
      <c r="G43" s="41"/>
      <c r="H43" s="42">
        <f t="shared" si="5"/>
        <v>0</v>
      </c>
      <c r="I43" s="43"/>
      <c r="J43" s="44"/>
    </row>
    <row r="44" spans="2:10" ht="15.75" customHeight="1" x14ac:dyDescent="0.2">
      <c r="B44" s="45">
        <v>46213</v>
      </c>
      <c r="C44" s="46"/>
      <c r="D44" s="46"/>
      <c r="E44" s="46"/>
      <c r="F44" s="46"/>
      <c r="G44" s="46"/>
      <c r="H44" s="47">
        <f t="shared" si="5"/>
        <v>0</v>
      </c>
      <c r="I44" s="48"/>
      <c r="J44" s="49"/>
    </row>
    <row r="45" spans="2:10" ht="15.75" customHeight="1" x14ac:dyDescent="0.2">
      <c r="B45" s="40">
        <v>46214</v>
      </c>
      <c r="C45" s="41"/>
      <c r="D45" s="41"/>
      <c r="E45" s="41"/>
      <c r="F45" s="41"/>
      <c r="G45" s="41"/>
      <c r="H45" s="42">
        <f t="shared" si="5"/>
        <v>0</v>
      </c>
      <c r="I45" s="43"/>
      <c r="J45" s="44"/>
    </row>
    <row r="46" spans="2:10" ht="15.75" customHeight="1" x14ac:dyDescent="0.2">
      <c r="B46" s="50">
        <v>46215</v>
      </c>
      <c r="C46" s="3" t="s">
        <v>45</v>
      </c>
      <c r="D46" s="3"/>
      <c r="E46" s="3"/>
      <c r="F46" s="3"/>
      <c r="G46" s="3"/>
      <c r="H46" s="3"/>
      <c r="I46" s="3"/>
      <c r="J46" s="51"/>
    </row>
    <row r="47" spans="2:10" ht="15.75" customHeight="1" x14ac:dyDescent="0.2">
      <c r="B47" s="40">
        <v>46216</v>
      </c>
      <c r="C47" s="41"/>
      <c r="D47" s="41"/>
      <c r="E47" s="41"/>
      <c r="F47" s="41"/>
      <c r="G47" s="41"/>
      <c r="H47" s="42">
        <f t="shared" ref="H47:H52" si="6">SUM(C47:F47)</f>
        <v>0</v>
      </c>
      <c r="I47" s="43"/>
      <c r="J47" s="44"/>
    </row>
    <row r="48" spans="2:10" ht="15.75" customHeight="1" x14ac:dyDescent="0.2">
      <c r="B48" s="45">
        <v>46217</v>
      </c>
      <c r="C48" s="46"/>
      <c r="D48" s="46"/>
      <c r="E48" s="46"/>
      <c r="F48" s="46"/>
      <c r="G48" s="46"/>
      <c r="H48" s="47">
        <f t="shared" si="6"/>
        <v>0</v>
      </c>
      <c r="I48" s="48"/>
      <c r="J48" s="49"/>
    </row>
    <row r="49" spans="2:10" ht="15.75" customHeight="1" x14ac:dyDescent="0.2">
      <c r="B49" s="40">
        <v>46218</v>
      </c>
      <c r="C49" s="41"/>
      <c r="D49" s="41"/>
      <c r="E49" s="41"/>
      <c r="F49" s="41"/>
      <c r="G49" s="41"/>
      <c r="H49" s="42">
        <f t="shared" si="6"/>
        <v>0</v>
      </c>
      <c r="I49" s="43"/>
      <c r="J49" s="44"/>
    </row>
    <row r="50" spans="2:10" ht="15.75" customHeight="1" x14ac:dyDescent="0.2">
      <c r="B50" s="45">
        <v>46219</v>
      </c>
      <c r="C50" s="46"/>
      <c r="D50" s="46"/>
      <c r="E50" s="46"/>
      <c r="F50" s="46"/>
      <c r="G50" s="46"/>
      <c r="H50" s="47">
        <f t="shared" si="6"/>
        <v>0</v>
      </c>
      <c r="I50" s="48"/>
      <c r="J50" s="49"/>
    </row>
    <row r="51" spans="2:10" ht="15.75" customHeight="1" x14ac:dyDescent="0.2">
      <c r="B51" s="40">
        <v>46220</v>
      </c>
      <c r="C51" s="41"/>
      <c r="D51" s="41"/>
      <c r="E51" s="41"/>
      <c r="F51" s="41"/>
      <c r="G51" s="41"/>
      <c r="H51" s="42">
        <f t="shared" si="6"/>
        <v>0</v>
      </c>
      <c r="I51" s="43"/>
      <c r="J51" s="44"/>
    </row>
    <row r="52" spans="2:10" ht="15.75" customHeight="1" x14ac:dyDescent="0.2">
      <c r="B52" s="45">
        <v>46221</v>
      </c>
      <c r="C52" s="46"/>
      <c r="D52" s="46"/>
      <c r="E52" s="46"/>
      <c r="F52" s="46"/>
      <c r="G52" s="46"/>
      <c r="H52" s="47">
        <f t="shared" si="6"/>
        <v>0</v>
      </c>
      <c r="I52" s="48"/>
      <c r="J52" s="49"/>
    </row>
    <row r="53" spans="2:10" ht="15.75" customHeight="1" x14ac:dyDescent="0.2">
      <c r="B53" s="50">
        <v>46222</v>
      </c>
      <c r="C53" s="3" t="s">
        <v>45</v>
      </c>
      <c r="D53" s="3"/>
      <c r="E53" s="3"/>
      <c r="F53" s="3"/>
      <c r="G53" s="3"/>
      <c r="H53" s="3"/>
      <c r="I53" s="3"/>
      <c r="J53" s="51"/>
    </row>
    <row r="54" spans="2:10" ht="15.75" customHeight="1" x14ac:dyDescent="0.2">
      <c r="B54" s="45">
        <v>46223</v>
      </c>
      <c r="C54" s="46"/>
      <c r="D54" s="46"/>
      <c r="E54" s="46"/>
      <c r="F54" s="46"/>
      <c r="G54" s="46"/>
      <c r="H54" s="47">
        <f t="shared" ref="H54:H59" si="7">SUM(C54:F54)</f>
        <v>0</v>
      </c>
      <c r="I54" s="48"/>
      <c r="J54" s="49"/>
    </row>
    <row r="55" spans="2:10" ht="15.75" customHeight="1" x14ac:dyDescent="0.2">
      <c r="B55" s="40">
        <v>46224</v>
      </c>
      <c r="C55" s="41"/>
      <c r="D55" s="41"/>
      <c r="E55" s="41"/>
      <c r="F55" s="41"/>
      <c r="G55" s="41"/>
      <c r="H55" s="42">
        <f t="shared" si="7"/>
        <v>0</v>
      </c>
      <c r="I55" s="43"/>
      <c r="J55" s="44"/>
    </row>
    <row r="56" spans="2:10" ht="15.75" customHeight="1" x14ac:dyDescent="0.2">
      <c r="B56" s="45">
        <v>46225</v>
      </c>
      <c r="C56" s="46"/>
      <c r="D56" s="46"/>
      <c r="E56" s="46"/>
      <c r="F56" s="46"/>
      <c r="G56" s="46"/>
      <c r="H56" s="47">
        <f t="shared" si="7"/>
        <v>0</v>
      </c>
      <c r="I56" s="48"/>
      <c r="J56" s="49"/>
    </row>
    <row r="57" spans="2:10" ht="15.75" customHeight="1" x14ac:dyDescent="0.2">
      <c r="B57" s="40">
        <v>46226</v>
      </c>
      <c r="C57" s="41"/>
      <c r="D57" s="41"/>
      <c r="E57" s="41"/>
      <c r="F57" s="41"/>
      <c r="G57" s="41"/>
      <c r="H57" s="42">
        <f t="shared" si="7"/>
        <v>0</v>
      </c>
      <c r="I57" s="43"/>
      <c r="J57" s="44"/>
    </row>
    <row r="58" spans="2:10" ht="15.75" customHeight="1" x14ac:dyDescent="0.2">
      <c r="B58" s="45">
        <v>46227</v>
      </c>
      <c r="C58" s="46"/>
      <c r="D58" s="46"/>
      <c r="E58" s="46"/>
      <c r="F58" s="46"/>
      <c r="G58" s="46"/>
      <c r="H58" s="47">
        <f t="shared" si="7"/>
        <v>0</v>
      </c>
      <c r="I58" s="48"/>
      <c r="J58" s="49"/>
    </row>
    <row r="59" spans="2:10" ht="15.75" customHeight="1" x14ac:dyDescent="0.2">
      <c r="B59" s="40">
        <v>46228</v>
      </c>
      <c r="C59" s="41"/>
      <c r="D59" s="41"/>
      <c r="E59" s="41"/>
      <c r="F59" s="41"/>
      <c r="G59" s="41"/>
      <c r="H59" s="42">
        <f t="shared" si="7"/>
        <v>0</v>
      </c>
      <c r="I59" s="43"/>
      <c r="J59" s="44"/>
    </row>
    <row r="60" spans="2:10" ht="15.75" customHeight="1" x14ac:dyDescent="0.2">
      <c r="B60" s="50">
        <v>46229</v>
      </c>
      <c r="C60" s="3" t="s">
        <v>45</v>
      </c>
      <c r="D60" s="3"/>
      <c r="E60" s="3"/>
      <c r="F60" s="3"/>
      <c r="G60" s="3"/>
      <c r="H60" s="3"/>
      <c r="I60" s="3"/>
      <c r="J60" s="51"/>
    </row>
    <row r="61" spans="2:10" ht="15.75" customHeight="1" x14ac:dyDescent="0.2">
      <c r="B61" s="40">
        <v>46230</v>
      </c>
      <c r="C61" s="41"/>
      <c r="D61" s="41"/>
      <c r="E61" s="41"/>
      <c r="F61" s="41"/>
      <c r="G61" s="41"/>
      <c r="H61" s="42">
        <f t="shared" ref="H61:H66" si="8">SUM(C61:F61)</f>
        <v>0</v>
      </c>
      <c r="I61" s="43"/>
      <c r="J61" s="44"/>
    </row>
    <row r="62" spans="2:10" ht="15.75" customHeight="1" x14ac:dyDescent="0.2">
      <c r="B62" s="45">
        <v>46231</v>
      </c>
      <c r="C62" s="46"/>
      <c r="D62" s="46"/>
      <c r="E62" s="46"/>
      <c r="F62" s="46"/>
      <c r="G62" s="46"/>
      <c r="H62" s="47">
        <f t="shared" si="8"/>
        <v>0</v>
      </c>
      <c r="I62" s="48"/>
      <c r="J62" s="49"/>
    </row>
    <row r="63" spans="2:10" ht="15.75" customHeight="1" x14ac:dyDescent="0.2">
      <c r="B63" s="40">
        <v>46232</v>
      </c>
      <c r="C63" s="41"/>
      <c r="D63" s="41"/>
      <c r="E63" s="41"/>
      <c r="F63" s="41"/>
      <c r="G63" s="41"/>
      <c r="H63" s="42">
        <f t="shared" si="8"/>
        <v>0</v>
      </c>
      <c r="I63" s="43"/>
      <c r="J63" s="44"/>
    </row>
    <row r="64" spans="2:10" ht="15.75" customHeight="1" x14ac:dyDescent="0.2">
      <c r="B64" s="45">
        <v>46233</v>
      </c>
      <c r="C64" s="46"/>
      <c r="D64" s="46"/>
      <c r="E64" s="46"/>
      <c r="F64" s="46"/>
      <c r="G64" s="46"/>
      <c r="H64" s="47">
        <f t="shared" si="8"/>
        <v>0</v>
      </c>
      <c r="I64" s="48"/>
      <c r="J64" s="49"/>
    </row>
    <row r="65" spans="2:10" ht="15.75" customHeight="1" x14ac:dyDescent="0.2">
      <c r="B65" s="40">
        <v>46234</v>
      </c>
      <c r="C65" s="41"/>
      <c r="D65" s="41"/>
      <c r="E65" s="41"/>
      <c r="F65" s="41"/>
      <c r="G65" s="41"/>
      <c r="H65" s="42">
        <f t="shared" si="8"/>
        <v>0</v>
      </c>
      <c r="I65" s="43"/>
      <c r="J65" s="44"/>
    </row>
    <row r="66" spans="2:10" ht="15.75" customHeight="1" x14ac:dyDescent="0.2">
      <c r="B66" s="45">
        <v>46235</v>
      </c>
      <c r="C66" s="46"/>
      <c r="D66" s="46"/>
      <c r="E66" s="46"/>
      <c r="F66" s="46"/>
      <c r="G66" s="46"/>
      <c r="H66" s="47">
        <f t="shared" si="8"/>
        <v>0</v>
      </c>
      <c r="I66" s="48"/>
      <c r="J66" s="49"/>
    </row>
    <row r="67" spans="2:10" ht="15.75" customHeight="1" x14ac:dyDescent="0.2">
      <c r="B67" s="50">
        <v>46236</v>
      </c>
      <c r="C67" s="3" t="s">
        <v>45</v>
      </c>
      <c r="D67" s="3"/>
      <c r="E67" s="3"/>
      <c r="F67" s="3"/>
      <c r="G67" s="3"/>
      <c r="H67" s="3"/>
      <c r="I67" s="3"/>
      <c r="J67" s="51"/>
    </row>
    <row r="68" spans="2:10" ht="15.75" customHeight="1" x14ac:dyDescent="0.2">
      <c r="B68" s="45">
        <v>46237</v>
      </c>
      <c r="C68" s="46"/>
      <c r="D68" s="46"/>
      <c r="E68" s="46"/>
      <c r="F68" s="46"/>
      <c r="G68" s="46"/>
      <c r="H68" s="47">
        <f t="shared" ref="H68:H73" si="9">SUM(C68:F68)</f>
        <v>0</v>
      </c>
      <c r="I68" s="48"/>
      <c r="J68" s="49"/>
    </row>
    <row r="69" spans="2:10" ht="15.75" customHeight="1" x14ac:dyDescent="0.2">
      <c r="B69" s="40">
        <v>46238</v>
      </c>
      <c r="C69" s="41"/>
      <c r="D69" s="41"/>
      <c r="E69" s="41"/>
      <c r="F69" s="41"/>
      <c r="G69" s="41"/>
      <c r="H69" s="42">
        <f t="shared" si="9"/>
        <v>0</v>
      </c>
      <c r="I69" s="43"/>
      <c r="J69" s="44"/>
    </row>
    <row r="70" spans="2:10" ht="15.75" customHeight="1" x14ac:dyDescent="0.2">
      <c r="B70" s="45">
        <v>46239</v>
      </c>
      <c r="C70" s="46"/>
      <c r="D70" s="46"/>
      <c r="E70" s="46"/>
      <c r="F70" s="46"/>
      <c r="G70" s="46"/>
      <c r="H70" s="47">
        <f t="shared" si="9"/>
        <v>0</v>
      </c>
      <c r="I70" s="48"/>
      <c r="J70" s="49"/>
    </row>
    <row r="71" spans="2:10" ht="15.75" customHeight="1" x14ac:dyDescent="0.2">
      <c r="B71" s="40">
        <v>46240</v>
      </c>
      <c r="C71" s="41"/>
      <c r="D71" s="41"/>
      <c r="E71" s="41"/>
      <c r="F71" s="41"/>
      <c r="G71" s="41"/>
      <c r="H71" s="42">
        <f t="shared" si="9"/>
        <v>0</v>
      </c>
      <c r="I71" s="43"/>
      <c r="J71" s="44"/>
    </row>
    <row r="72" spans="2:10" ht="15.75" customHeight="1" x14ac:dyDescent="0.2">
      <c r="B72" s="45">
        <v>46241</v>
      </c>
      <c r="C72" s="46"/>
      <c r="D72" s="46"/>
      <c r="E72" s="46"/>
      <c r="F72" s="46"/>
      <c r="G72" s="46"/>
      <c r="H72" s="47">
        <f t="shared" si="9"/>
        <v>0</v>
      </c>
      <c r="I72" s="48"/>
      <c r="J72" s="49"/>
    </row>
    <row r="73" spans="2:10" ht="15.75" customHeight="1" x14ac:dyDescent="0.2">
      <c r="B73" s="40">
        <v>46242</v>
      </c>
      <c r="C73" s="41"/>
      <c r="D73" s="41"/>
      <c r="E73" s="41"/>
      <c r="F73" s="41"/>
      <c r="G73" s="41"/>
      <c r="H73" s="42">
        <f t="shared" si="9"/>
        <v>0</v>
      </c>
      <c r="I73" s="43"/>
      <c r="J73" s="44"/>
    </row>
    <row r="74" spans="2:10" ht="15.75" customHeight="1" x14ac:dyDescent="0.2">
      <c r="B74" s="50">
        <v>46243</v>
      </c>
      <c r="C74" s="3" t="s">
        <v>45</v>
      </c>
      <c r="D74" s="3"/>
      <c r="E74" s="3"/>
      <c r="F74" s="3"/>
      <c r="G74" s="3"/>
      <c r="H74" s="3"/>
      <c r="I74" s="3"/>
      <c r="J74" s="51"/>
    </row>
    <row r="75" spans="2:10" ht="15.75" customHeight="1" x14ac:dyDescent="0.2">
      <c r="B75" s="40">
        <v>46244</v>
      </c>
      <c r="C75" s="41"/>
      <c r="D75" s="41"/>
      <c r="E75" s="41"/>
      <c r="F75" s="41"/>
      <c r="G75" s="41"/>
      <c r="H75" s="42">
        <f t="shared" ref="H75:H80" si="10">SUM(C75:F75)</f>
        <v>0</v>
      </c>
      <c r="I75" s="43"/>
      <c r="J75" s="44"/>
    </row>
    <row r="76" spans="2:10" ht="15.75" customHeight="1" x14ac:dyDescent="0.2">
      <c r="B76" s="45">
        <v>46245</v>
      </c>
      <c r="C76" s="46"/>
      <c r="D76" s="46"/>
      <c r="E76" s="46"/>
      <c r="F76" s="46"/>
      <c r="G76" s="46"/>
      <c r="H76" s="47">
        <f t="shared" si="10"/>
        <v>0</v>
      </c>
      <c r="I76" s="48"/>
      <c r="J76" s="49"/>
    </row>
    <row r="77" spans="2:10" ht="15.75" customHeight="1" x14ac:dyDescent="0.2">
      <c r="B77" s="40">
        <v>46246</v>
      </c>
      <c r="C77" s="41"/>
      <c r="D77" s="41"/>
      <c r="E77" s="41"/>
      <c r="F77" s="41"/>
      <c r="G77" s="41"/>
      <c r="H77" s="42">
        <f t="shared" si="10"/>
        <v>0</v>
      </c>
      <c r="I77" s="43"/>
      <c r="J77" s="44"/>
    </row>
    <row r="78" spans="2:10" ht="15.75" customHeight="1" x14ac:dyDescent="0.2">
      <c r="B78" s="45">
        <v>46247</v>
      </c>
      <c r="C78" s="46"/>
      <c r="D78" s="46"/>
      <c r="E78" s="46"/>
      <c r="F78" s="46"/>
      <c r="G78" s="46"/>
      <c r="H78" s="47">
        <f t="shared" si="10"/>
        <v>0</v>
      </c>
      <c r="I78" s="48"/>
      <c r="J78" s="49"/>
    </row>
    <row r="79" spans="2:10" ht="15.75" customHeight="1" x14ac:dyDescent="0.2">
      <c r="B79" s="40">
        <v>46248</v>
      </c>
      <c r="C79" s="41"/>
      <c r="D79" s="41"/>
      <c r="E79" s="41"/>
      <c r="F79" s="41"/>
      <c r="G79" s="41"/>
      <c r="H79" s="42">
        <f t="shared" si="10"/>
        <v>0</v>
      </c>
      <c r="I79" s="43"/>
      <c r="J79" s="44"/>
    </row>
    <row r="80" spans="2:10" ht="15.75" customHeight="1" x14ac:dyDescent="0.2">
      <c r="B80" s="45">
        <v>46249</v>
      </c>
      <c r="C80" s="46"/>
      <c r="D80" s="46"/>
      <c r="E80" s="46"/>
      <c r="F80" s="46"/>
      <c r="G80" s="46"/>
      <c r="H80" s="47">
        <f t="shared" si="10"/>
        <v>0</v>
      </c>
      <c r="I80" s="48"/>
      <c r="J80" s="49"/>
    </row>
    <row r="81" spans="2:10" ht="15.75" customHeight="1" x14ac:dyDescent="0.2">
      <c r="B81" s="50">
        <v>46250</v>
      </c>
      <c r="C81" s="3" t="s">
        <v>45</v>
      </c>
      <c r="D81" s="3"/>
      <c r="E81" s="3"/>
      <c r="F81" s="3"/>
      <c r="G81" s="3"/>
      <c r="H81" s="3"/>
      <c r="I81" s="3"/>
      <c r="J81" s="51"/>
    </row>
    <row r="82" spans="2:10" ht="15.75" customHeight="1" x14ac:dyDescent="0.2">
      <c r="B82" s="45">
        <v>46251</v>
      </c>
      <c r="C82" s="46"/>
      <c r="D82" s="46"/>
      <c r="E82" s="46"/>
      <c r="F82" s="46"/>
      <c r="G82" s="46"/>
      <c r="H82" s="47">
        <f t="shared" ref="H82:H87" si="11">SUM(C82:F82)</f>
        <v>0</v>
      </c>
      <c r="I82" s="48"/>
      <c r="J82" s="49"/>
    </row>
    <row r="83" spans="2:10" ht="15.75" customHeight="1" x14ac:dyDescent="0.2">
      <c r="B83" s="40">
        <v>46252</v>
      </c>
      <c r="C83" s="41"/>
      <c r="D83" s="41"/>
      <c r="E83" s="41"/>
      <c r="F83" s="41"/>
      <c r="G83" s="41"/>
      <c r="H83" s="42">
        <f t="shared" si="11"/>
        <v>0</v>
      </c>
      <c r="I83" s="43"/>
      <c r="J83" s="44"/>
    </row>
    <row r="84" spans="2:10" ht="15.75" customHeight="1" x14ac:dyDescent="0.2">
      <c r="B84" s="45">
        <v>46253</v>
      </c>
      <c r="C84" s="46"/>
      <c r="D84" s="46"/>
      <c r="E84" s="46"/>
      <c r="F84" s="46"/>
      <c r="G84" s="46"/>
      <c r="H84" s="47">
        <f t="shared" si="11"/>
        <v>0</v>
      </c>
      <c r="I84" s="48"/>
      <c r="J84" s="49"/>
    </row>
    <row r="85" spans="2:10" ht="15.75" customHeight="1" x14ac:dyDescent="0.2">
      <c r="B85" s="40">
        <v>46254</v>
      </c>
      <c r="C85" s="41"/>
      <c r="D85" s="41"/>
      <c r="E85" s="41"/>
      <c r="F85" s="41"/>
      <c r="G85" s="41"/>
      <c r="H85" s="42">
        <f t="shared" si="11"/>
        <v>0</v>
      </c>
      <c r="I85" s="43"/>
      <c r="J85" s="44"/>
    </row>
    <row r="86" spans="2:10" ht="15.75" customHeight="1" x14ac:dyDescent="0.2">
      <c r="B86" s="45">
        <v>46255</v>
      </c>
      <c r="C86" s="46"/>
      <c r="D86" s="46"/>
      <c r="E86" s="46"/>
      <c r="F86" s="46"/>
      <c r="G86" s="46"/>
      <c r="H86" s="47">
        <f t="shared" si="11"/>
        <v>0</v>
      </c>
      <c r="I86" s="48"/>
      <c r="J86" s="49"/>
    </row>
    <row r="87" spans="2:10" ht="15.75" customHeight="1" x14ac:dyDescent="0.2">
      <c r="B87" s="40">
        <v>46256</v>
      </c>
      <c r="C87" s="41"/>
      <c r="D87" s="41"/>
      <c r="E87" s="41"/>
      <c r="F87" s="41"/>
      <c r="G87" s="41"/>
      <c r="H87" s="42">
        <f t="shared" si="11"/>
        <v>0</v>
      </c>
      <c r="I87" s="43"/>
      <c r="J87" s="44"/>
    </row>
    <row r="88" spans="2:10" ht="15.75" customHeight="1" x14ac:dyDescent="0.2">
      <c r="B88" s="50">
        <v>46257</v>
      </c>
      <c r="C88" s="3" t="s">
        <v>45</v>
      </c>
      <c r="D88" s="3"/>
      <c r="E88" s="3"/>
      <c r="F88" s="3"/>
      <c r="G88" s="3"/>
      <c r="H88" s="3"/>
      <c r="I88" s="3"/>
      <c r="J88" s="51"/>
    </row>
    <row r="89" spans="2:10" ht="15.75" customHeight="1" x14ac:dyDescent="0.2">
      <c r="B89" s="40">
        <v>46258</v>
      </c>
      <c r="C89" s="41"/>
      <c r="D89" s="41"/>
      <c r="E89" s="41"/>
      <c r="F89" s="41"/>
      <c r="G89" s="41"/>
      <c r="H89" s="42">
        <f t="shared" ref="H89:H94" si="12">SUM(C89:F89)</f>
        <v>0</v>
      </c>
      <c r="I89" s="43"/>
      <c r="J89" s="44"/>
    </row>
    <row r="90" spans="2:10" ht="15.75" customHeight="1" x14ac:dyDescent="0.2">
      <c r="B90" s="45">
        <v>46259</v>
      </c>
      <c r="C90" s="46"/>
      <c r="D90" s="46"/>
      <c r="E90" s="46"/>
      <c r="F90" s="46"/>
      <c r="G90" s="46"/>
      <c r="H90" s="47">
        <f t="shared" si="12"/>
        <v>0</v>
      </c>
      <c r="I90" s="48"/>
      <c r="J90" s="49"/>
    </row>
    <row r="91" spans="2:10" ht="15.75" customHeight="1" x14ac:dyDescent="0.2">
      <c r="B91" s="40">
        <v>46260</v>
      </c>
      <c r="C91" s="41"/>
      <c r="D91" s="41"/>
      <c r="E91" s="41"/>
      <c r="F91" s="41"/>
      <c r="G91" s="41"/>
      <c r="H91" s="42">
        <f t="shared" si="12"/>
        <v>0</v>
      </c>
      <c r="I91" s="43"/>
      <c r="J91" s="44"/>
    </row>
    <row r="92" spans="2:10" ht="15.75" customHeight="1" x14ac:dyDescent="0.2">
      <c r="B92" s="45">
        <v>46261</v>
      </c>
      <c r="C92" s="46"/>
      <c r="D92" s="46"/>
      <c r="E92" s="46"/>
      <c r="F92" s="46"/>
      <c r="G92" s="46"/>
      <c r="H92" s="47">
        <f t="shared" si="12"/>
        <v>0</v>
      </c>
      <c r="I92" s="48"/>
      <c r="J92" s="49"/>
    </row>
    <row r="93" spans="2:10" ht="15.75" customHeight="1" x14ac:dyDescent="0.2">
      <c r="B93" s="40">
        <v>46262</v>
      </c>
      <c r="C93" s="41"/>
      <c r="D93" s="41"/>
      <c r="E93" s="41"/>
      <c r="F93" s="41"/>
      <c r="G93" s="41"/>
      <c r="H93" s="42">
        <f t="shared" si="12"/>
        <v>0</v>
      </c>
      <c r="I93" s="43"/>
      <c r="J93" s="44"/>
    </row>
    <row r="94" spans="2:10" ht="15.75" customHeight="1" x14ac:dyDescent="0.2">
      <c r="B94" s="45">
        <v>46263</v>
      </c>
      <c r="C94" s="46"/>
      <c r="D94" s="46"/>
      <c r="E94" s="46"/>
      <c r="F94" s="46"/>
      <c r="G94" s="46"/>
      <c r="H94" s="47">
        <f t="shared" si="12"/>
        <v>0</v>
      </c>
      <c r="I94" s="48"/>
      <c r="J94" s="49"/>
    </row>
    <row r="95" spans="2:10" ht="15.75" customHeight="1" x14ac:dyDescent="0.2">
      <c r="B95" s="50">
        <v>46264</v>
      </c>
      <c r="C95" s="3" t="s">
        <v>45</v>
      </c>
      <c r="D95" s="3"/>
      <c r="E95" s="3"/>
      <c r="F95" s="3"/>
      <c r="G95" s="3"/>
      <c r="H95" s="3"/>
      <c r="I95" s="3"/>
      <c r="J95" s="51"/>
    </row>
    <row r="96" spans="2:10" ht="15.75" customHeight="1" x14ac:dyDescent="0.2">
      <c r="B96" s="45">
        <v>46265</v>
      </c>
      <c r="C96" s="46"/>
      <c r="D96" s="46"/>
      <c r="E96" s="46"/>
      <c r="F96" s="46"/>
      <c r="G96" s="46"/>
      <c r="H96" s="47">
        <f>SUM(C96:F96)</f>
        <v>0</v>
      </c>
      <c r="I96" s="48"/>
      <c r="J96" s="49"/>
    </row>
    <row r="97" spans="2:10" ht="21.75" customHeight="1" x14ac:dyDescent="0.2">
      <c r="B97" s="52" t="s">
        <v>46</v>
      </c>
      <c r="C97" s="53">
        <f>SUM(C5:C96)</f>
        <v>0</v>
      </c>
      <c r="D97" s="53">
        <f>SUM(D5:D96)</f>
        <v>0</v>
      </c>
      <c r="E97" s="53">
        <f>SUM(E5:E96)</f>
        <v>0</v>
      </c>
      <c r="F97" s="53">
        <f>SUM(F5:F96)</f>
        <v>0</v>
      </c>
      <c r="G97" s="15"/>
      <c r="H97" s="53">
        <f>SUM(H5:H96)</f>
        <v>0</v>
      </c>
      <c r="I97" s="15"/>
      <c r="J97" s="15"/>
    </row>
  </sheetData>
  <mergeCells count="15">
    <mergeCell ref="C67:I67"/>
    <mergeCell ref="C74:I74"/>
    <mergeCell ref="C81:I81"/>
    <mergeCell ref="C88:I88"/>
    <mergeCell ref="C95:I95"/>
    <mergeCell ref="C32:I32"/>
    <mergeCell ref="C39:I39"/>
    <mergeCell ref="C46:I46"/>
    <mergeCell ref="C53:I53"/>
    <mergeCell ref="C60:I60"/>
    <mergeCell ref="B1:J1"/>
    <mergeCell ref="B2:J2"/>
    <mergeCell ref="C11:I11"/>
    <mergeCell ref="C18:I18"/>
    <mergeCell ref="C25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" customWidth="1"/>
    <col min="2" max="2" width="8" customWidth="1"/>
    <col min="3" max="3" width="40.1640625" bestFit="1" customWidth="1"/>
    <col min="4" max="4" width="32" bestFit="1" customWidth="1"/>
    <col min="5" max="5" width="12" customWidth="1"/>
    <col min="6" max="6" width="16" customWidth="1"/>
    <col min="7" max="7" width="2" customWidth="1"/>
  </cols>
  <sheetData>
    <row r="1" spans="2:6" ht="36" customHeight="1" x14ac:dyDescent="0.2">
      <c r="B1" s="2" t="s">
        <v>47</v>
      </c>
      <c r="C1" s="2"/>
      <c r="D1" s="2"/>
      <c r="E1" s="2"/>
      <c r="F1" s="2"/>
    </row>
    <row r="2" spans="2:6" ht="18" customHeight="1" x14ac:dyDescent="0.2">
      <c r="B2" s="1" t="s">
        <v>48</v>
      </c>
      <c r="C2" s="1"/>
      <c r="D2" s="1"/>
      <c r="E2" s="1"/>
      <c r="F2" s="1"/>
    </row>
    <row r="3" spans="2:6" ht="7.5" customHeight="1" x14ac:dyDescent="0.2"/>
    <row r="4" spans="2:6" ht="21.75" customHeight="1" x14ac:dyDescent="0.2">
      <c r="B4" s="54" t="s">
        <v>49</v>
      </c>
      <c r="C4" s="54" t="s">
        <v>50</v>
      </c>
      <c r="D4" s="31" t="s">
        <v>51</v>
      </c>
      <c r="E4" s="54" t="s">
        <v>52</v>
      </c>
      <c r="F4" s="54" t="s">
        <v>53</v>
      </c>
    </row>
    <row r="5" spans="2:6" ht="21.75" customHeight="1" x14ac:dyDescent="0.2">
      <c r="B5" s="74" t="s">
        <v>54</v>
      </c>
      <c r="C5" s="74"/>
      <c r="D5" s="74"/>
      <c r="E5" s="74"/>
      <c r="F5" s="74"/>
    </row>
    <row r="6" spans="2:6" ht="30" customHeight="1" x14ac:dyDescent="0.2">
      <c r="B6" s="55" t="s">
        <v>55</v>
      </c>
      <c r="C6" s="56" t="s">
        <v>56</v>
      </c>
      <c r="D6" s="28" t="s">
        <v>57</v>
      </c>
      <c r="E6" s="55" t="s">
        <v>58</v>
      </c>
      <c r="F6" s="28"/>
    </row>
    <row r="7" spans="2:6" ht="30" customHeight="1" x14ac:dyDescent="0.2">
      <c r="B7" s="27" t="s">
        <v>55</v>
      </c>
      <c r="C7" s="57" t="s">
        <v>59</v>
      </c>
      <c r="D7" s="58" t="s">
        <v>60</v>
      </c>
      <c r="E7" s="27" t="s">
        <v>58</v>
      </c>
      <c r="F7" s="58"/>
    </row>
    <row r="8" spans="2:6" ht="30" customHeight="1" x14ac:dyDescent="0.2">
      <c r="B8" s="55" t="s">
        <v>61</v>
      </c>
      <c r="C8" s="56" t="s">
        <v>62</v>
      </c>
      <c r="D8" s="28" t="s">
        <v>63</v>
      </c>
      <c r="E8" s="55" t="s">
        <v>58</v>
      </c>
      <c r="F8" s="28"/>
    </row>
    <row r="9" spans="2:6" ht="30" customHeight="1" x14ac:dyDescent="0.2">
      <c r="B9" s="27" t="s">
        <v>61</v>
      </c>
      <c r="C9" s="57" t="s">
        <v>64</v>
      </c>
      <c r="D9" s="58" t="s">
        <v>65</v>
      </c>
      <c r="E9" s="27" t="s">
        <v>58</v>
      </c>
      <c r="F9" s="58"/>
    </row>
    <row r="10" spans="2:6" ht="30" customHeight="1" x14ac:dyDescent="0.2">
      <c r="B10" s="55" t="s">
        <v>66</v>
      </c>
      <c r="C10" s="56" t="s">
        <v>67</v>
      </c>
      <c r="D10" s="28" t="s">
        <v>68</v>
      </c>
      <c r="E10" s="55" t="s">
        <v>58</v>
      </c>
      <c r="F10" s="28"/>
    </row>
    <row r="11" spans="2:6" ht="30" customHeight="1" x14ac:dyDescent="0.2">
      <c r="B11" s="27" t="s">
        <v>66</v>
      </c>
      <c r="C11" s="57" t="s">
        <v>69</v>
      </c>
      <c r="D11" s="58" t="s">
        <v>70</v>
      </c>
      <c r="E11" s="27" t="s">
        <v>58</v>
      </c>
      <c r="F11" s="58"/>
    </row>
    <row r="12" spans="2:6" ht="30" customHeight="1" x14ac:dyDescent="0.2">
      <c r="B12" s="55" t="s">
        <v>71</v>
      </c>
      <c r="C12" s="56" t="s">
        <v>72</v>
      </c>
      <c r="D12" s="28" t="s">
        <v>73</v>
      </c>
      <c r="E12" s="55" t="s">
        <v>58</v>
      </c>
      <c r="F12" s="28"/>
    </row>
    <row r="13" spans="2:6" ht="30" customHeight="1" x14ac:dyDescent="0.2">
      <c r="B13" s="27" t="s">
        <v>71</v>
      </c>
      <c r="C13" s="57" t="s">
        <v>74</v>
      </c>
      <c r="D13" s="58" t="s">
        <v>75</v>
      </c>
      <c r="E13" s="27" t="s">
        <v>58</v>
      </c>
      <c r="F13" s="58"/>
    </row>
    <row r="14" spans="2:6" ht="7.5" customHeight="1" x14ac:dyDescent="0.2"/>
    <row r="15" spans="2:6" ht="21.75" customHeight="1" x14ac:dyDescent="0.2">
      <c r="B15" s="74" t="s">
        <v>76</v>
      </c>
      <c r="C15" s="74"/>
      <c r="D15" s="74"/>
      <c r="E15" s="74"/>
      <c r="F15" s="74"/>
    </row>
    <row r="16" spans="2:6" ht="30" customHeight="1" x14ac:dyDescent="0.2">
      <c r="B16" s="55" t="s">
        <v>77</v>
      </c>
      <c r="C16" s="56" t="s">
        <v>78</v>
      </c>
      <c r="D16" s="28" t="s">
        <v>79</v>
      </c>
      <c r="E16" s="55" t="s">
        <v>58</v>
      </c>
      <c r="F16" s="28"/>
    </row>
    <row r="17" spans="2:6" ht="30" customHeight="1" x14ac:dyDescent="0.2">
      <c r="B17" s="27" t="s">
        <v>77</v>
      </c>
      <c r="C17" s="57" t="s">
        <v>80</v>
      </c>
      <c r="D17" s="58" t="s">
        <v>81</v>
      </c>
      <c r="E17" s="27" t="s">
        <v>58</v>
      </c>
      <c r="F17" s="58"/>
    </row>
    <row r="18" spans="2:6" ht="30" customHeight="1" x14ac:dyDescent="0.2">
      <c r="B18" s="55" t="s">
        <v>82</v>
      </c>
      <c r="C18" s="56" t="s">
        <v>83</v>
      </c>
      <c r="D18" s="28" t="s">
        <v>84</v>
      </c>
      <c r="E18" s="55" t="s">
        <v>58</v>
      </c>
      <c r="F18" s="28"/>
    </row>
    <row r="19" spans="2:6" ht="30" customHeight="1" x14ac:dyDescent="0.2">
      <c r="B19" s="27" t="s">
        <v>82</v>
      </c>
      <c r="C19" s="57" t="s">
        <v>85</v>
      </c>
      <c r="D19" s="58" t="s">
        <v>86</v>
      </c>
      <c r="E19" s="27" t="s">
        <v>58</v>
      </c>
      <c r="F19" s="58"/>
    </row>
    <row r="20" spans="2:6" ht="30" customHeight="1" x14ac:dyDescent="0.2">
      <c r="B20" s="55" t="s">
        <v>87</v>
      </c>
      <c r="C20" s="56" t="s">
        <v>88</v>
      </c>
      <c r="D20" s="28" t="s">
        <v>89</v>
      </c>
      <c r="E20" s="55" t="s">
        <v>58</v>
      </c>
      <c r="F20" s="28"/>
    </row>
    <row r="21" spans="2:6" ht="30" customHeight="1" x14ac:dyDescent="0.2">
      <c r="B21" s="27" t="s">
        <v>87</v>
      </c>
      <c r="C21" s="57" t="s">
        <v>90</v>
      </c>
      <c r="D21" s="58" t="s">
        <v>91</v>
      </c>
      <c r="E21" s="27" t="s">
        <v>58</v>
      </c>
      <c r="F21" s="58"/>
    </row>
    <row r="22" spans="2:6" ht="30" customHeight="1" x14ac:dyDescent="0.2">
      <c r="B22" s="55" t="s">
        <v>92</v>
      </c>
      <c r="C22" s="56" t="s">
        <v>93</v>
      </c>
      <c r="D22" s="28" t="s">
        <v>94</v>
      </c>
      <c r="E22" s="55" t="s">
        <v>58</v>
      </c>
      <c r="F22" s="28"/>
    </row>
    <row r="23" spans="2:6" ht="30" customHeight="1" x14ac:dyDescent="0.2">
      <c r="B23" s="27" t="s">
        <v>92</v>
      </c>
      <c r="C23" s="57" t="s">
        <v>95</v>
      </c>
      <c r="D23" s="58" t="s">
        <v>96</v>
      </c>
      <c r="E23" s="27" t="s">
        <v>58</v>
      </c>
      <c r="F23" s="58"/>
    </row>
    <row r="24" spans="2:6" ht="7.5" customHeight="1" x14ac:dyDescent="0.2"/>
    <row r="25" spans="2:6" ht="21.75" customHeight="1" x14ac:dyDescent="0.2">
      <c r="B25" s="74" t="s">
        <v>97</v>
      </c>
      <c r="C25" s="74"/>
      <c r="D25" s="74"/>
      <c r="E25" s="74"/>
      <c r="F25" s="74"/>
    </row>
    <row r="26" spans="2:6" ht="30" customHeight="1" x14ac:dyDescent="0.2">
      <c r="B26" s="55" t="s">
        <v>98</v>
      </c>
      <c r="C26" s="56" t="s">
        <v>99</v>
      </c>
      <c r="D26" s="28" t="s">
        <v>100</v>
      </c>
      <c r="E26" s="55" t="s">
        <v>58</v>
      </c>
      <c r="F26" s="28"/>
    </row>
    <row r="27" spans="2:6" ht="30" customHeight="1" x14ac:dyDescent="0.2">
      <c r="B27" s="27" t="s">
        <v>98</v>
      </c>
      <c r="C27" s="57" t="s">
        <v>101</v>
      </c>
      <c r="D27" s="58" t="s">
        <v>102</v>
      </c>
      <c r="E27" s="27" t="s">
        <v>58</v>
      </c>
      <c r="F27" s="58"/>
    </row>
    <row r="28" spans="2:6" ht="30" customHeight="1" x14ac:dyDescent="0.2">
      <c r="B28" s="55" t="s">
        <v>103</v>
      </c>
      <c r="C28" s="56" t="s">
        <v>104</v>
      </c>
      <c r="D28" s="28" t="s">
        <v>105</v>
      </c>
      <c r="E28" s="55" t="s">
        <v>58</v>
      </c>
      <c r="F28" s="28"/>
    </row>
    <row r="29" spans="2:6" ht="30" customHeight="1" x14ac:dyDescent="0.2">
      <c r="B29" s="27" t="s">
        <v>103</v>
      </c>
      <c r="C29" s="57" t="s">
        <v>106</v>
      </c>
      <c r="D29" s="58" t="s">
        <v>107</v>
      </c>
      <c r="E29" s="27" t="s">
        <v>58</v>
      </c>
      <c r="F29" s="58"/>
    </row>
    <row r="30" spans="2:6" ht="30" customHeight="1" x14ac:dyDescent="0.2">
      <c r="B30" s="55" t="s">
        <v>108</v>
      </c>
      <c r="C30" s="56" t="s">
        <v>109</v>
      </c>
      <c r="D30" s="28" t="s">
        <v>110</v>
      </c>
      <c r="E30" s="55" t="s">
        <v>58</v>
      </c>
      <c r="F30" s="28"/>
    </row>
    <row r="31" spans="2:6" ht="30" customHeight="1" x14ac:dyDescent="0.2">
      <c r="B31" s="27" t="s">
        <v>108</v>
      </c>
      <c r="C31" s="57" t="s">
        <v>111</v>
      </c>
      <c r="D31" s="58" t="s">
        <v>112</v>
      </c>
      <c r="E31" s="27" t="s">
        <v>58</v>
      </c>
      <c r="F31" s="58"/>
    </row>
    <row r="32" spans="2:6" ht="30" customHeight="1" x14ac:dyDescent="0.2">
      <c r="B32" s="55" t="s">
        <v>113</v>
      </c>
      <c r="C32" s="56" t="s">
        <v>114</v>
      </c>
      <c r="D32" s="28" t="s">
        <v>115</v>
      </c>
      <c r="E32" s="55" t="s">
        <v>58</v>
      </c>
      <c r="F32" s="28"/>
    </row>
    <row r="33" spans="2:6" ht="30" customHeight="1" x14ac:dyDescent="0.2">
      <c r="B33" s="27" t="s">
        <v>113</v>
      </c>
      <c r="C33" s="57" t="s">
        <v>116</v>
      </c>
      <c r="D33" s="58" t="s">
        <v>117</v>
      </c>
      <c r="E33" s="27" t="s">
        <v>58</v>
      </c>
      <c r="F33" s="58"/>
    </row>
    <row r="34" spans="2:6" ht="7.5" customHeight="1" x14ac:dyDescent="0.2"/>
  </sheetData>
  <mergeCells count="5">
    <mergeCell ref="B1:F1"/>
    <mergeCell ref="B2:F2"/>
    <mergeCell ref="B5:F5"/>
    <mergeCell ref="B15:F15"/>
    <mergeCell ref="B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34"/>
  <sheetViews>
    <sheetView showGridLines="0" zoomScaleNormal="100" workbookViewId="0">
      <pane ySplit="4" topLeftCell="A5" activePane="bottomLeft" state="frozen"/>
      <selection pane="bottomLeft" activeCell="D6" sqref="D6"/>
    </sheetView>
  </sheetViews>
  <sheetFormatPr baseColWidth="10" defaultColWidth="8.6640625" defaultRowHeight="15" x14ac:dyDescent="0.2"/>
  <cols>
    <col min="1" max="1" width="2" customWidth="1"/>
    <col min="2" max="2" width="8" customWidth="1"/>
    <col min="3" max="3" width="40" customWidth="1"/>
    <col min="4" max="4" width="27.5" bestFit="1" customWidth="1"/>
    <col min="5" max="5" width="12" customWidth="1"/>
    <col min="6" max="6" width="16" customWidth="1"/>
    <col min="7" max="7" width="2" customWidth="1"/>
  </cols>
  <sheetData>
    <row r="1" spans="2:6" ht="36" customHeight="1" x14ac:dyDescent="0.2">
      <c r="B1" s="75" t="s">
        <v>118</v>
      </c>
      <c r="C1" s="75"/>
      <c r="D1" s="75"/>
      <c r="E1" s="75"/>
      <c r="F1" s="75"/>
    </row>
    <row r="2" spans="2:6" ht="18" customHeight="1" x14ac:dyDescent="0.2">
      <c r="B2" s="76" t="s">
        <v>48</v>
      </c>
      <c r="C2" s="76"/>
      <c r="D2" s="76"/>
      <c r="E2" s="76"/>
      <c r="F2" s="76"/>
    </row>
    <row r="3" spans="2:6" ht="7.5" customHeight="1" x14ac:dyDescent="0.2"/>
    <row r="4" spans="2:6" ht="21.75" customHeight="1" x14ac:dyDescent="0.2">
      <c r="B4" s="59" t="s">
        <v>49</v>
      </c>
      <c r="C4" s="59" t="s">
        <v>50</v>
      </c>
      <c r="D4" s="32" t="s">
        <v>51</v>
      </c>
      <c r="E4" s="59" t="s">
        <v>52</v>
      </c>
      <c r="F4" s="59" t="s">
        <v>53</v>
      </c>
    </row>
    <row r="5" spans="2:6" ht="21.75" customHeight="1" x14ac:dyDescent="0.2">
      <c r="B5" s="77" t="s">
        <v>119</v>
      </c>
      <c r="C5" s="77"/>
      <c r="D5" s="77"/>
      <c r="E5" s="77"/>
      <c r="F5" s="77"/>
    </row>
    <row r="6" spans="2:6" ht="30" customHeight="1" x14ac:dyDescent="0.2">
      <c r="B6" s="55" t="s">
        <v>55</v>
      </c>
      <c r="C6" s="56" t="s">
        <v>120</v>
      </c>
      <c r="D6" s="28" t="s">
        <v>121</v>
      </c>
      <c r="E6" s="55" t="s">
        <v>58</v>
      </c>
      <c r="F6" s="28"/>
    </row>
    <row r="7" spans="2:6" ht="30" customHeight="1" x14ac:dyDescent="0.2">
      <c r="B7" s="27" t="s">
        <v>55</v>
      </c>
      <c r="C7" s="57" t="s">
        <v>122</v>
      </c>
      <c r="D7" s="58" t="s">
        <v>123</v>
      </c>
      <c r="E7" s="27" t="s">
        <v>58</v>
      </c>
      <c r="F7" s="58"/>
    </row>
    <row r="8" spans="2:6" ht="30" customHeight="1" x14ac:dyDescent="0.2">
      <c r="B8" s="55" t="s">
        <v>61</v>
      </c>
      <c r="C8" s="56" t="s">
        <v>124</v>
      </c>
      <c r="D8" s="28" t="s">
        <v>125</v>
      </c>
      <c r="E8" s="55" t="s">
        <v>58</v>
      </c>
      <c r="F8" s="28"/>
    </row>
    <row r="9" spans="2:6" ht="30" customHeight="1" x14ac:dyDescent="0.2">
      <c r="B9" s="27" t="s">
        <v>61</v>
      </c>
      <c r="C9" s="57" t="s">
        <v>126</v>
      </c>
      <c r="D9" s="58" t="s">
        <v>127</v>
      </c>
      <c r="E9" s="27" t="s">
        <v>58</v>
      </c>
      <c r="F9" s="58"/>
    </row>
    <row r="10" spans="2:6" ht="30" customHeight="1" x14ac:dyDescent="0.2">
      <c r="B10" s="55" t="s">
        <v>66</v>
      </c>
      <c r="C10" s="56" t="s">
        <v>128</v>
      </c>
      <c r="D10" s="28" t="s">
        <v>129</v>
      </c>
      <c r="E10" s="55" t="s">
        <v>58</v>
      </c>
      <c r="F10" s="28"/>
    </row>
    <row r="11" spans="2:6" ht="30" customHeight="1" x14ac:dyDescent="0.2">
      <c r="B11" s="27" t="s">
        <v>66</v>
      </c>
      <c r="C11" s="57" t="s">
        <v>130</v>
      </c>
      <c r="D11" s="58" t="s">
        <v>131</v>
      </c>
      <c r="E11" s="27" t="s">
        <v>58</v>
      </c>
      <c r="F11" s="58"/>
    </row>
    <row r="12" spans="2:6" ht="30" customHeight="1" x14ac:dyDescent="0.2">
      <c r="B12" s="55" t="s">
        <v>71</v>
      </c>
      <c r="C12" s="56" t="s">
        <v>132</v>
      </c>
      <c r="D12" s="28" t="s">
        <v>133</v>
      </c>
      <c r="E12" s="55" t="s">
        <v>58</v>
      </c>
      <c r="F12" s="28"/>
    </row>
    <row r="13" spans="2:6" ht="30" customHeight="1" x14ac:dyDescent="0.2">
      <c r="B13" s="27" t="s">
        <v>71</v>
      </c>
      <c r="C13" s="57" t="s">
        <v>134</v>
      </c>
      <c r="D13" s="58" t="s">
        <v>135</v>
      </c>
      <c r="E13" s="27" t="s">
        <v>58</v>
      </c>
      <c r="F13" s="58"/>
    </row>
    <row r="14" spans="2:6" ht="7.5" customHeight="1" x14ac:dyDescent="0.2"/>
    <row r="15" spans="2:6" ht="21.75" customHeight="1" x14ac:dyDescent="0.2">
      <c r="B15" s="77" t="s">
        <v>136</v>
      </c>
      <c r="C15" s="77"/>
      <c r="D15" s="77"/>
      <c r="E15" s="77"/>
      <c r="F15" s="77"/>
    </row>
    <row r="16" spans="2:6" ht="30" customHeight="1" x14ac:dyDescent="0.2">
      <c r="B16" s="55" t="s">
        <v>77</v>
      </c>
      <c r="C16" s="56" t="s">
        <v>137</v>
      </c>
      <c r="D16" s="28" t="s">
        <v>138</v>
      </c>
      <c r="E16" s="55" t="s">
        <v>58</v>
      </c>
      <c r="F16" s="28"/>
    </row>
    <row r="17" spans="2:6" ht="30" customHeight="1" x14ac:dyDescent="0.2">
      <c r="B17" s="27" t="s">
        <v>77</v>
      </c>
      <c r="C17" s="57" t="s">
        <v>139</v>
      </c>
      <c r="D17" s="58" t="s">
        <v>140</v>
      </c>
      <c r="E17" s="27" t="s">
        <v>58</v>
      </c>
      <c r="F17" s="58"/>
    </row>
    <row r="18" spans="2:6" ht="30" customHeight="1" x14ac:dyDescent="0.2">
      <c r="B18" s="55" t="s">
        <v>82</v>
      </c>
      <c r="C18" s="56" t="s">
        <v>141</v>
      </c>
      <c r="D18" s="28" t="s">
        <v>142</v>
      </c>
      <c r="E18" s="55" t="s">
        <v>58</v>
      </c>
      <c r="F18" s="28"/>
    </row>
    <row r="19" spans="2:6" ht="30" customHeight="1" x14ac:dyDescent="0.2">
      <c r="B19" s="27" t="s">
        <v>82</v>
      </c>
      <c r="C19" s="57" t="s">
        <v>143</v>
      </c>
      <c r="D19" s="58" t="s">
        <v>144</v>
      </c>
      <c r="E19" s="27" t="s">
        <v>58</v>
      </c>
      <c r="F19" s="58"/>
    </row>
    <row r="20" spans="2:6" ht="30" customHeight="1" x14ac:dyDescent="0.2">
      <c r="B20" s="55" t="s">
        <v>87</v>
      </c>
      <c r="C20" s="56" t="s">
        <v>145</v>
      </c>
      <c r="D20" s="28" t="s">
        <v>146</v>
      </c>
      <c r="E20" s="55" t="s">
        <v>58</v>
      </c>
      <c r="F20" s="28"/>
    </row>
    <row r="21" spans="2:6" ht="30" customHeight="1" x14ac:dyDescent="0.2">
      <c r="B21" s="27" t="s">
        <v>87</v>
      </c>
      <c r="C21" s="57" t="s">
        <v>147</v>
      </c>
      <c r="D21" s="58" t="s">
        <v>148</v>
      </c>
      <c r="E21" s="27" t="s">
        <v>58</v>
      </c>
      <c r="F21" s="58"/>
    </row>
    <row r="22" spans="2:6" ht="30" customHeight="1" x14ac:dyDescent="0.2">
      <c r="B22" s="55" t="s">
        <v>92</v>
      </c>
      <c r="C22" s="56" t="s">
        <v>149</v>
      </c>
      <c r="D22" s="28" t="s">
        <v>150</v>
      </c>
      <c r="E22" s="55" t="s">
        <v>58</v>
      </c>
      <c r="F22" s="28"/>
    </row>
    <row r="23" spans="2:6" ht="30" customHeight="1" x14ac:dyDescent="0.2">
      <c r="B23" s="27" t="s">
        <v>92</v>
      </c>
      <c r="C23" s="57" t="s">
        <v>151</v>
      </c>
      <c r="D23" s="58" t="s">
        <v>152</v>
      </c>
      <c r="E23" s="27" t="s">
        <v>58</v>
      </c>
      <c r="F23" s="58"/>
    </row>
    <row r="24" spans="2:6" ht="7.5" customHeight="1" x14ac:dyDescent="0.2"/>
    <row r="25" spans="2:6" ht="21.75" customHeight="1" x14ac:dyDescent="0.2">
      <c r="B25" s="77" t="s">
        <v>153</v>
      </c>
      <c r="C25" s="77"/>
      <c r="D25" s="77"/>
      <c r="E25" s="77"/>
      <c r="F25" s="77"/>
    </row>
    <row r="26" spans="2:6" ht="30" customHeight="1" x14ac:dyDescent="0.2">
      <c r="B26" s="55" t="s">
        <v>98</v>
      </c>
      <c r="C26" s="56" t="s">
        <v>154</v>
      </c>
      <c r="D26" s="28" t="s">
        <v>155</v>
      </c>
      <c r="E26" s="55" t="s">
        <v>58</v>
      </c>
      <c r="F26" s="28"/>
    </row>
    <row r="27" spans="2:6" ht="30" customHeight="1" x14ac:dyDescent="0.2">
      <c r="B27" s="27" t="s">
        <v>98</v>
      </c>
      <c r="C27" s="57" t="s">
        <v>156</v>
      </c>
      <c r="D27" s="58" t="s">
        <v>157</v>
      </c>
      <c r="E27" s="27" t="s">
        <v>58</v>
      </c>
      <c r="F27" s="58"/>
    </row>
    <row r="28" spans="2:6" ht="30" customHeight="1" x14ac:dyDescent="0.2">
      <c r="B28" s="55" t="s">
        <v>103</v>
      </c>
      <c r="C28" s="56" t="s">
        <v>158</v>
      </c>
      <c r="D28" s="28" t="s">
        <v>159</v>
      </c>
      <c r="E28" s="55" t="s">
        <v>58</v>
      </c>
      <c r="F28" s="28"/>
    </row>
    <row r="29" spans="2:6" ht="30" customHeight="1" x14ac:dyDescent="0.2">
      <c r="B29" s="27" t="s">
        <v>103</v>
      </c>
      <c r="C29" s="57" t="s">
        <v>160</v>
      </c>
      <c r="D29" s="58" t="s">
        <v>161</v>
      </c>
      <c r="E29" s="27" t="s">
        <v>58</v>
      </c>
      <c r="F29" s="58"/>
    </row>
    <row r="30" spans="2:6" ht="30" customHeight="1" x14ac:dyDescent="0.2">
      <c r="B30" s="55" t="s">
        <v>108</v>
      </c>
      <c r="C30" s="56" t="s">
        <v>162</v>
      </c>
      <c r="D30" s="28" t="s">
        <v>163</v>
      </c>
      <c r="E30" s="55" t="s">
        <v>58</v>
      </c>
      <c r="F30" s="28"/>
    </row>
    <row r="31" spans="2:6" ht="30" customHeight="1" x14ac:dyDescent="0.2">
      <c r="B31" s="27" t="s">
        <v>108</v>
      </c>
      <c r="C31" s="57" t="s">
        <v>164</v>
      </c>
      <c r="D31" s="58" t="s">
        <v>165</v>
      </c>
      <c r="E31" s="27" t="s">
        <v>58</v>
      </c>
      <c r="F31" s="58"/>
    </row>
    <row r="32" spans="2:6" ht="30" customHeight="1" x14ac:dyDescent="0.2">
      <c r="B32" s="55" t="s">
        <v>113</v>
      </c>
      <c r="C32" s="56" t="s">
        <v>166</v>
      </c>
      <c r="D32" s="28" t="s">
        <v>167</v>
      </c>
      <c r="E32" s="55" t="s">
        <v>58</v>
      </c>
      <c r="F32" s="28"/>
    </row>
    <row r="33" spans="2:6" ht="30" customHeight="1" x14ac:dyDescent="0.2">
      <c r="B33" s="27" t="s">
        <v>113</v>
      </c>
      <c r="C33" s="57" t="s">
        <v>168</v>
      </c>
      <c r="D33" s="58" t="s">
        <v>169</v>
      </c>
      <c r="E33" s="27" t="s">
        <v>58</v>
      </c>
      <c r="F33" s="58"/>
    </row>
    <row r="34" spans="2:6" ht="7.5" customHeight="1" x14ac:dyDescent="0.2"/>
  </sheetData>
  <mergeCells count="5">
    <mergeCell ref="B1:F1"/>
    <mergeCell ref="B2:F2"/>
    <mergeCell ref="B5:F5"/>
    <mergeCell ref="B15:F15"/>
    <mergeCell ref="B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34"/>
  <sheetViews>
    <sheetView showGridLines="0" tabSelected="1" zoomScaleNormal="100" workbookViewId="0">
      <pane ySplit="4" topLeftCell="A5" activePane="bottomLeft" state="frozen"/>
      <selection pane="bottomLeft" activeCell="D6" sqref="D6"/>
    </sheetView>
  </sheetViews>
  <sheetFormatPr baseColWidth="10" defaultColWidth="8.6640625" defaultRowHeight="15" x14ac:dyDescent="0.2"/>
  <cols>
    <col min="1" max="1" width="2" customWidth="1"/>
    <col min="2" max="2" width="8" customWidth="1"/>
    <col min="3" max="3" width="41" bestFit="1" customWidth="1"/>
    <col min="4" max="4" width="24" bestFit="1" customWidth="1"/>
    <col min="5" max="5" width="12" customWidth="1"/>
    <col min="6" max="6" width="16" customWidth="1"/>
    <col min="7" max="7" width="2" customWidth="1"/>
  </cols>
  <sheetData>
    <row r="1" spans="2:6" ht="36" customHeight="1" x14ac:dyDescent="0.2">
      <c r="B1" s="78" t="s">
        <v>170</v>
      </c>
      <c r="C1" s="78"/>
      <c r="D1" s="78"/>
      <c r="E1" s="78"/>
      <c r="F1" s="78"/>
    </row>
    <row r="2" spans="2:6" ht="18" customHeight="1" x14ac:dyDescent="0.2">
      <c r="B2" s="79" t="s">
        <v>48</v>
      </c>
      <c r="C2" s="79"/>
      <c r="D2" s="79"/>
      <c r="E2" s="79"/>
      <c r="F2" s="79"/>
    </row>
    <row r="3" spans="2:6" ht="7.5" customHeight="1" x14ac:dyDescent="0.2"/>
    <row r="4" spans="2:6" ht="21.75" customHeight="1" x14ac:dyDescent="0.2">
      <c r="B4" s="60" t="s">
        <v>49</v>
      </c>
      <c r="C4" s="60" t="s">
        <v>50</v>
      </c>
      <c r="D4" s="33" t="s">
        <v>51</v>
      </c>
      <c r="E4" s="60" t="s">
        <v>52</v>
      </c>
      <c r="F4" s="60" t="s">
        <v>53</v>
      </c>
    </row>
    <row r="5" spans="2:6" ht="21.75" customHeight="1" x14ac:dyDescent="0.2">
      <c r="B5" s="80" t="s">
        <v>171</v>
      </c>
      <c r="C5" s="80"/>
      <c r="D5" s="80"/>
      <c r="E5" s="80"/>
      <c r="F5" s="80"/>
    </row>
    <row r="6" spans="2:6" ht="30" customHeight="1" x14ac:dyDescent="0.2">
      <c r="B6" s="55" t="s">
        <v>55</v>
      </c>
      <c r="C6" s="56" t="s">
        <v>172</v>
      </c>
      <c r="D6" s="87" t="s">
        <v>173</v>
      </c>
      <c r="E6" s="55" t="s">
        <v>58</v>
      </c>
      <c r="F6" s="28"/>
    </row>
    <row r="7" spans="2:6" ht="30" customHeight="1" x14ac:dyDescent="0.2">
      <c r="B7" s="27" t="s">
        <v>55</v>
      </c>
      <c r="C7" s="57" t="s">
        <v>174</v>
      </c>
      <c r="D7" s="58" t="s">
        <v>175</v>
      </c>
      <c r="E7" s="27" t="s">
        <v>58</v>
      </c>
      <c r="F7" s="58"/>
    </row>
    <row r="8" spans="2:6" ht="30" customHeight="1" x14ac:dyDescent="0.2">
      <c r="B8" s="55" t="s">
        <v>61</v>
      </c>
      <c r="C8" s="56" t="s">
        <v>176</v>
      </c>
      <c r="D8" s="28" t="s">
        <v>177</v>
      </c>
      <c r="E8" s="55" t="s">
        <v>58</v>
      </c>
      <c r="F8" s="28"/>
    </row>
    <row r="9" spans="2:6" ht="30" customHeight="1" x14ac:dyDescent="0.2">
      <c r="B9" s="27" t="s">
        <v>61</v>
      </c>
      <c r="C9" s="57" t="s">
        <v>178</v>
      </c>
      <c r="D9" s="58" t="s">
        <v>177</v>
      </c>
      <c r="E9" s="27" t="s">
        <v>58</v>
      </c>
      <c r="F9" s="58"/>
    </row>
    <row r="10" spans="2:6" ht="30" customHeight="1" x14ac:dyDescent="0.2">
      <c r="B10" s="55" t="s">
        <v>66</v>
      </c>
      <c r="C10" s="56" t="s">
        <v>179</v>
      </c>
      <c r="D10" s="28" t="s">
        <v>180</v>
      </c>
      <c r="E10" s="55" t="s">
        <v>58</v>
      </c>
      <c r="F10" s="28"/>
    </row>
    <row r="11" spans="2:6" ht="30" customHeight="1" x14ac:dyDescent="0.2">
      <c r="B11" s="27" t="s">
        <v>66</v>
      </c>
      <c r="C11" s="57" t="s">
        <v>181</v>
      </c>
      <c r="D11" s="58" t="s">
        <v>182</v>
      </c>
      <c r="E11" s="27" t="s">
        <v>58</v>
      </c>
      <c r="F11" s="58"/>
    </row>
    <row r="12" spans="2:6" ht="30" customHeight="1" x14ac:dyDescent="0.2">
      <c r="B12" s="55" t="s">
        <v>71</v>
      </c>
      <c r="C12" s="56" t="s">
        <v>183</v>
      </c>
      <c r="D12" s="28" t="s">
        <v>184</v>
      </c>
      <c r="E12" s="55" t="s">
        <v>58</v>
      </c>
      <c r="F12" s="28"/>
    </row>
    <row r="13" spans="2:6" ht="30" customHeight="1" x14ac:dyDescent="0.2">
      <c r="B13" s="27" t="s">
        <v>71</v>
      </c>
      <c r="C13" s="57" t="s">
        <v>185</v>
      </c>
      <c r="D13" s="58" t="s">
        <v>186</v>
      </c>
      <c r="E13" s="27" t="s">
        <v>58</v>
      </c>
      <c r="F13" s="58"/>
    </row>
    <row r="14" spans="2:6" ht="7.5" customHeight="1" x14ac:dyDescent="0.2"/>
    <row r="15" spans="2:6" ht="21.75" customHeight="1" x14ac:dyDescent="0.2">
      <c r="B15" s="80" t="s">
        <v>187</v>
      </c>
      <c r="C15" s="80"/>
      <c r="D15" s="80"/>
      <c r="E15" s="80"/>
      <c r="F15" s="80"/>
    </row>
    <row r="16" spans="2:6" ht="30" customHeight="1" x14ac:dyDescent="0.2">
      <c r="B16" s="55" t="s">
        <v>77</v>
      </c>
      <c r="C16" s="56" t="s">
        <v>188</v>
      </c>
      <c r="D16" s="28" t="s">
        <v>189</v>
      </c>
      <c r="E16" s="55" t="s">
        <v>58</v>
      </c>
      <c r="F16" s="28"/>
    </row>
    <row r="17" spans="2:6" ht="30" customHeight="1" x14ac:dyDescent="0.2">
      <c r="B17" s="27" t="s">
        <v>77</v>
      </c>
      <c r="C17" s="57" t="s">
        <v>190</v>
      </c>
      <c r="D17" s="58" t="s">
        <v>191</v>
      </c>
      <c r="E17" s="27" t="s">
        <v>58</v>
      </c>
      <c r="F17" s="58"/>
    </row>
    <row r="18" spans="2:6" ht="30" customHeight="1" x14ac:dyDescent="0.2">
      <c r="B18" s="55" t="s">
        <v>82</v>
      </c>
      <c r="C18" s="56" t="s">
        <v>192</v>
      </c>
      <c r="D18" s="28" t="s">
        <v>177</v>
      </c>
      <c r="E18" s="55" t="s">
        <v>58</v>
      </c>
      <c r="F18" s="28"/>
    </row>
    <row r="19" spans="2:6" ht="30" customHeight="1" x14ac:dyDescent="0.2">
      <c r="B19" s="27" t="s">
        <v>82</v>
      </c>
      <c r="C19" s="57" t="s">
        <v>193</v>
      </c>
      <c r="D19" s="58" t="s">
        <v>194</v>
      </c>
      <c r="E19" s="27" t="s">
        <v>58</v>
      </c>
      <c r="F19" s="58"/>
    </row>
    <row r="20" spans="2:6" ht="30" customHeight="1" x14ac:dyDescent="0.2">
      <c r="B20" s="55" t="s">
        <v>87</v>
      </c>
      <c r="C20" s="56" t="s">
        <v>195</v>
      </c>
      <c r="D20" s="28" t="s">
        <v>196</v>
      </c>
      <c r="E20" s="55" t="s">
        <v>58</v>
      </c>
      <c r="F20" s="28"/>
    </row>
    <row r="21" spans="2:6" ht="30" customHeight="1" x14ac:dyDescent="0.2">
      <c r="B21" s="27" t="s">
        <v>87</v>
      </c>
      <c r="C21" s="57" t="s">
        <v>197</v>
      </c>
      <c r="D21" s="58" t="s">
        <v>198</v>
      </c>
      <c r="E21" s="27" t="s">
        <v>58</v>
      </c>
      <c r="F21" s="58"/>
    </row>
    <row r="22" spans="2:6" ht="30" customHeight="1" x14ac:dyDescent="0.2">
      <c r="B22" s="55" t="s">
        <v>92</v>
      </c>
      <c r="C22" s="56" t="s">
        <v>199</v>
      </c>
      <c r="D22" s="28" t="s">
        <v>200</v>
      </c>
      <c r="E22" s="55" t="s">
        <v>58</v>
      </c>
      <c r="F22" s="28"/>
    </row>
    <row r="23" spans="2:6" ht="30" customHeight="1" x14ac:dyDescent="0.2">
      <c r="B23" s="27" t="s">
        <v>92</v>
      </c>
      <c r="C23" s="57" t="s">
        <v>201</v>
      </c>
      <c r="D23" s="58" t="s">
        <v>202</v>
      </c>
      <c r="E23" s="27" t="s">
        <v>58</v>
      </c>
      <c r="F23" s="58"/>
    </row>
    <row r="24" spans="2:6" ht="7.5" customHeight="1" x14ac:dyDescent="0.2"/>
    <row r="25" spans="2:6" ht="21.75" customHeight="1" x14ac:dyDescent="0.2">
      <c r="B25" s="80" t="s">
        <v>203</v>
      </c>
      <c r="C25" s="80"/>
      <c r="D25" s="80"/>
      <c r="E25" s="80"/>
      <c r="F25" s="80"/>
    </row>
    <row r="26" spans="2:6" ht="30" customHeight="1" x14ac:dyDescent="0.2">
      <c r="B26" s="55" t="s">
        <v>98</v>
      </c>
      <c r="C26" s="56" t="s">
        <v>204</v>
      </c>
      <c r="D26" s="28" t="s">
        <v>205</v>
      </c>
      <c r="E26" s="55" t="s">
        <v>58</v>
      </c>
      <c r="F26" s="28"/>
    </row>
    <row r="27" spans="2:6" ht="30" customHeight="1" x14ac:dyDescent="0.2">
      <c r="B27" s="27" t="s">
        <v>98</v>
      </c>
      <c r="C27" s="57" t="s">
        <v>206</v>
      </c>
      <c r="D27" s="58" t="s">
        <v>207</v>
      </c>
      <c r="E27" s="27" t="s">
        <v>58</v>
      </c>
      <c r="F27" s="58"/>
    </row>
    <row r="28" spans="2:6" ht="30" customHeight="1" x14ac:dyDescent="0.2">
      <c r="B28" s="55" t="s">
        <v>103</v>
      </c>
      <c r="C28" s="56" t="s">
        <v>208</v>
      </c>
      <c r="D28" s="28" t="s">
        <v>209</v>
      </c>
      <c r="E28" s="55" t="s">
        <v>58</v>
      </c>
      <c r="F28" s="28"/>
    </row>
    <row r="29" spans="2:6" ht="30" customHeight="1" x14ac:dyDescent="0.2">
      <c r="B29" s="27" t="s">
        <v>103</v>
      </c>
      <c r="C29" s="57" t="s">
        <v>210</v>
      </c>
      <c r="D29" s="58" t="s">
        <v>211</v>
      </c>
      <c r="E29" s="27" t="s">
        <v>58</v>
      </c>
      <c r="F29" s="58"/>
    </row>
    <row r="30" spans="2:6" ht="30" customHeight="1" x14ac:dyDescent="0.2">
      <c r="B30" s="55" t="s">
        <v>108</v>
      </c>
      <c r="C30" s="56" t="s">
        <v>212</v>
      </c>
      <c r="D30" s="28" t="s">
        <v>213</v>
      </c>
      <c r="E30" s="55" t="s">
        <v>58</v>
      </c>
      <c r="F30" s="28"/>
    </row>
    <row r="31" spans="2:6" ht="30" customHeight="1" x14ac:dyDescent="0.2">
      <c r="B31" s="27" t="s">
        <v>108</v>
      </c>
      <c r="C31" s="57" t="s">
        <v>214</v>
      </c>
      <c r="D31" s="58" t="s">
        <v>215</v>
      </c>
      <c r="E31" s="27" t="s">
        <v>58</v>
      </c>
      <c r="F31" s="58"/>
    </row>
    <row r="32" spans="2:6" ht="30" customHeight="1" x14ac:dyDescent="0.2">
      <c r="B32" s="55" t="s">
        <v>113</v>
      </c>
      <c r="C32" s="56" t="s">
        <v>216</v>
      </c>
      <c r="D32" s="28" t="s">
        <v>217</v>
      </c>
      <c r="E32" s="55" t="s">
        <v>58</v>
      </c>
      <c r="F32" s="28"/>
    </row>
    <row r="33" spans="2:6" ht="30" customHeight="1" x14ac:dyDescent="0.2">
      <c r="B33" s="27" t="s">
        <v>113</v>
      </c>
      <c r="C33" s="57" t="s">
        <v>218</v>
      </c>
      <c r="D33" s="58" t="s">
        <v>219</v>
      </c>
      <c r="E33" s="27" t="s">
        <v>58</v>
      </c>
      <c r="F33" s="58"/>
    </row>
    <row r="34" spans="2:6" ht="7.5" customHeight="1" x14ac:dyDescent="0.2"/>
  </sheetData>
  <mergeCells count="5">
    <mergeCell ref="B1:F1"/>
    <mergeCell ref="B2:F2"/>
    <mergeCell ref="B5:F5"/>
    <mergeCell ref="B15:F15"/>
    <mergeCell ref="B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3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" customWidth="1"/>
    <col min="2" max="2" width="8" customWidth="1"/>
    <col min="3" max="3" width="42.5" bestFit="1" customWidth="1"/>
    <col min="4" max="4" width="26.6640625" bestFit="1" customWidth="1"/>
    <col min="5" max="5" width="7.6640625" bestFit="1" customWidth="1"/>
    <col min="6" max="6" width="16" customWidth="1"/>
    <col min="7" max="7" width="2" customWidth="1"/>
  </cols>
  <sheetData>
    <row r="1" spans="2:6" ht="36" customHeight="1" x14ac:dyDescent="0.2">
      <c r="B1" s="81" t="s">
        <v>220</v>
      </c>
      <c r="C1" s="81"/>
      <c r="D1" s="81"/>
      <c r="E1" s="81"/>
      <c r="F1" s="81"/>
    </row>
    <row r="2" spans="2:6" ht="18" customHeight="1" x14ac:dyDescent="0.2">
      <c r="B2" s="82" t="s">
        <v>48</v>
      </c>
      <c r="C2" s="82"/>
      <c r="D2" s="82"/>
      <c r="E2" s="82"/>
      <c r="F2" s="82"/>
    </row>
    <row r="3" spans="2:6" ht="7.5" customHeight="1" x14ac:dyDescent="0.2"/>
    <row r="4" spans="2:6" ht="21.75" customHeight="1" x14ac:dyDescent="0.2">
      <c r="B4" s="61" t="s">
        <v>49</v>
      </c>
      <c r="C4" s="61" t="s">
        <v>50</v>
      </c>
      <c r="D4" s="62" t="s">
        <v>51</v>
      </c>
      <c r="E4" s="61" t="s">
        <v>52</v>
      </c>
      <c r="F4" s="61" t="s">
        <v>53</v>
      </c>
    </row>
    <row r="5" spans="2:6" ht="21.75" customHeight="1" x14ac:dyDescent="0.2">
      <c r="B5" s="83" t="s">
        <v>221</v>
      </c>
      <c r="C5" s="83"/>
      <c r="D5" s="83"/>
      <c r="E5" s="83"/>
      <c r="F5" s="83"/>
    </row>
    <row r="6" spans="2:6" ht="30" customHeight="1" x14ac:dyDescent="0.2">
      <c r="B6" s="55" t="s">
        <v>55</v>
      </c>
      <c r="C6" s="56" t="s">
        <v>222</v>
      </c>
      <c r="D6" s="28" t="s">
        <v>223</v>
      </c>
      <c r="E6" s="55" t="s">
        <v>58</v>
      </c>
      <c r="F6" s="28"/>
    </row>
    <row r="7" spans="2:6" ht="30" customHeight="1" x14ac:dyDescent="0.2">
      <c r="B7" s="27" t="s">
        <v>55</v>
      </c>
      <c r="C7" s="57" t="s">
        <v>224</v>
      </c>
      <c r="D7" s="58" t="s">
        <v>225</v>
      </c>
      <c r="E7" s="27" t="s">
        <v>58</v>
      </c>
      <c r="F7" s="58"/>
    </row>
    <row r="8" spans="2:6" ht="30" customHeight="1" x14ac:dyDescent="0.2">
      <c r="B8" s="55" t="s">
        <v>61</v>
      </c>
      <c r="C8" s="56" t="s">
        <v>226</v>
      </c>
      <c r="D8" s="28" t="s">
        <v>227</v>
      </c>
      <c r="E8" s="55" t="s">
        <v>58</v>
      </c>
      <c r="F8" s="28"/>
    </row>
    <row r="9" spans="2:6" ht="30" customHeight="1" x14ac:dyDescent="0.2">
      <c r="B9" s="27" t="s">
        <v>61</v>
      </c>
      <c r="C9" s="57" t="s">
        <v>228</v>
      </c>
      <c r="D9" s="58" t="s">
        <v>229</v>
      </c>
      <c r="E9" s="27" t="s">
        <v>58</v>
      </c>
      <c r="F9" s="58"/>
    </row>
    <row r="10" spans="2:6" ht="30" customHeight="1" x14ac:dyDescent="0.2">
      <c r="B10" s="55" t="s">
        <v>66</v>
      </c>
      <c r="C10" s="56" t="s">
        <v>230</v>
      </c>
      <c r="D10" s="28" t="s">
        <v>231</v>
      </c>
      <c r="E10" s="55" t="s">
        <v>58</v>
      </c>
      <c r="F10" s="28"/>
    </row>
    <row r="11" spans="2:6" ht="30" customHeight="1" x14ac:dyDescent="0.2">
      <c r="B11" s="27" t="s">
        <v>66</v>
      </c>
      <c r="C11" s="57" t="s">
        <v>232</v>
      </c>
      <c r="D11" s="58" t="s">
        <v>233</v>
      </c>
      <c r="E11" s="27" t="s">
        <v>58</v>
      </c>
      <c r="F11" s="58"/>
    </row>
    <row r="12" spans="2:6" ht="30" customHeight="1" x14ac:dyDescent="0.2">
      <c r="B12" s="55" t="s">
        <v>71</v>
      </c>
      <c r="C12" s="56" t="s">
        <v>234</v>
      </c>
      <c r="D12" s="28" t="s">
        <v>235</v>
      </c>
      <c r="E12" s="55" t="s">
        <v>58</v>
      </c>
      <c r="F12" s="28"/>
    </row>
    <row r="13" spans="2:6" ht="30" customHeight="1" x14ac:dyDescent="0.2">
      <c r="B13" s="27" t="s">
        <v>71</v>
      </c>
      <c r="C13" s="57" t="s">
        <v>236</v>
      </c>
      <c r="D13" s="58" t="s">
        <v>237</v>
      </c>
      <c r="E13" s="27" t="s">
        <v>58</v>
      </c>
      <c r="F13" s="58"/>
    </row>
    <row r="14" spans="2:6" ht="7.5" customHeight="1" x14ac:dyDescent="0.2"/>
    <row r="15" spans="2:6" ht="21.75" customHeight="1" x14ac:dyDescent="0.2">
      <c r="B15" s="83" t="s">
        <v>238</v>
      </c>
      <c r="C15" s="83"/>
      <c r="D15" s="83"/>
      <c r="E15" s="83"/>
      <c r="F15" s="83"/>
    </row>
    <row r="16" spans="2:6" ht="30" customHeight="1" x14ac:dyDescent="0.2">
      <c r="B16" s="55" t="s">
        <v>77</v>
      </c>
      <c r="C16" s="56" t="s">
        <v>239</v>
      </c>
      <c r="D16" s="28" t="s">
        <v>240</v>
      </c>
      <c r="E16" s="55" t="s">
        <v>58</v>
      </c>
      <c r="F16" s="28"/>
    </row>
    <row r="17" spans="2:6" ht="30" customHeight="1" x14ac:dyDescent="0.2">
      <c r="B17" s="27" t="s">
        <v>77</v>
      </c>
      <c r="C17" s="57" t="s">
        <v>241</v>
      </c>
      <c r="D17" s="58" t="s">
        <v>242</v>
      </c>
      <c r="E17" s="27" t="s">
        <v>58</v>
      </c>
      <c r="F17" s="58"/>
    </row>
    <row r="18" spans="2:6" ht="30" customHeight="1" x14ac:dyDescent="0.2">
      <c r="B18" s="55" t="s">
        <v>82</v>
      </c>
      <c r="C18" s="56" t="s">
        <v>243</v>
      </c>
      <c r="D18" s="28" t="s">
        <v>244</v>
      </c>
      <c r="E18" s="55" t="s">
        <v>58</v>
      </c>
      <c r="F18" s="28"/>
    </row>
    <row r="19" spans="2:6" ht="30" customHeight="1" x14ac:dyDescent="0.2">
      <c r="B19" s="27" t="s">
        <v>82</v>
      </c>
      <c r="C19" s="57" t="s">
        <v>245</v>
      </c>
      <c r="D19" s="58" t="s">
        <v>246</v>
      </c>
      <c r="E19" s="27" t="s">
        <v>58</v>
      </c>
      <c r="F19" s="58"/>
    </row>
    <row r="20" spans="2:6" ht="30" customHeight="1" x14ac:dyDescent="0.2">
      <c r="B20" s="55" t="s">
        <v>87</v>
      </c>
      <c r="C20" s="56" t="s">
        <v>247</v>
      </c>
      <c r="D20" s="28" t="s">
        <v>248</v>
      </c>
      <c r="E20" s="55" t="s">
        <v>58</v>
      </c>
      <c r="F20" s="28"/>
    </row>
    <row r="21" spans="2:6" ht="30" customHeight="1" x14ac:dyDescent="0.2">
      <c r="B21" s="27" t="s">
        <v>87</v>
      </c>
      <c r="C21" s="57" t="s">
        <v>249</v>
      </c>
      <c r="D21" s="58" t="s">
        <v>250</v>
      </c>
      <c r="E21" s="27" t="s">
        <v>58</v>
      </c>
      <c r="F21" s="58"/>
    </row>
    <row r="22" spans="2:6" ht="30" customHeight="1" x14ac:dyDescent="0.2">
      <c r="B22" s="55" t="s">
        <v>92</v>
      </c>
      <c r="C22" s="56" t="s">
        <v>251</v>
      </c>
      <c r="D22" s="28" t="s">
        <v>252</v>
      </c>
      <c r="E22" s="55" t="s">
        <v>58</v>
      </c>
      <c r="F22" s="28"/>
    </row>
    <row r="23" spans="2:6" ht="30" customHeight="1" x14ac:dyDescent="0.2">
      <c r="B23" s="27" t="s">
        <v>92</v>
      </c>
      <c r="C23" s="57" t="s">
        <v>253</v>
      </c>
      <c r="D23" s="58" t="s">
        <v>254</v>
      </c>
      <c r="E23" s="27" t="s">
        <v>58</v>
      </c>
      <c r="F23" s="58"/>
    </row>
    <row r="24" spans="2:6" ht="7.5" customHeight="1" x14ac:dyDescent="0.2"/>
    <row r="25" spans="2:6" ht="21.75" customHeight="1" x14ac:dyDescent="0.2">
      <c r="B25" s="83" t="s">
        <v>255</v>
      </c>
      <c r="C25" s="83"/>
      <c r="D25" s="83"/>
      <c r="E25" s="83"/>
      <c r="F25" s="83"/>
    </row>
    <row r="26" spans="2:6" ht="30" customHeight="1" x14ac:dyDescent="0.2">
      <c r="B26" s="55" t="s">
        <v>98</v>
      </c>
      <c r="C26" s="56" t="s">
        <v>256</v>
      </c>
      <c r="D26" s="28" t="s">
        <v>257</v>
      </c>
      <c r="E26" s="55" t="s">
        <v>58</v>
      </c>
      <c r="F26" s="28"/>
    </row>
    <row r="27" spans="2:6" ht="30" customHeight="1" x14ac:dyDescent="0.2">
      <c r="B27" s="27" t="s">
        <v>98</v>
      </c>
      <c r="C27" s="57" t="s">
        <v>258</v>
      </c>
      <c r="D27" s="58" t="s">
        <v>259</v>
      </c>
      <c r="E27" s="27" t="s">
        <v>58</v>
      </c>
      <c r="F27" s="58"/>
    </row>
    <row r="28" spans="2:6" ht="30" customHeight="1" x14ac:dyDescent="0.2">
      <c r="B28" s="55" t="s">
        <v>103</v>
      </c>
      <c r="C28" s="56" t="s">
        <v>260</v>
      </c>
      <c r="D28" s="28" t="s">
        <v>261</v>
      </c>
      <c r="E28" s="55" t="s">
        <v>58</v>
      </c>
      <c r="F28" s="28"/>
    </row>
    <row r="29" spans="2:6" ht="30" customHeight="1" x14ac:dyDescent="0.2">
      <c r="B29" s="27" t="s">
        <v>103</v>
      </c>
      <c r="C29" s="57" t="s">
        <v>262</v>
      </c>
      <c r="D29" s="58" t="s">
        <v>263</v>
      </c>
      <c r="E29" s="27" t="s">
        <v>58</v>
      </c>
      <c r="F29" s="58"/>
    </row>
    <row r="30" spans="2:6" ht="30" customHeight="1" x14ac:dyDescent="0.2">
      <c r="B30" s="55" t="s">
        <v>108</v>
      </c>
      <c r="C30" s="56" t="s">
        <v>264</v>
      </c>
      <c r="D30" s="28" t="s">
        <v>265</v>
      </c>
      <c r="E30" s="55" t="s">
        <v>58</v>
      </c>
      <c r="F30" s="28"/>
    </row>
    <row r="31" spans="2:6" ht="30" customHeight="1" x14ac:dyDescent="0.2">
      <c r="B31" s="27" t="s">
        <v>108</v>
      </c>
      <c r="C31" s="57" t="s">
        <v>266</v>
      </c>
      <c r="D31" s="58" t="s">
        <v>267</v>
      </c>
      <c r="E31" s="27" t="s">
        <v>58</v>
      </c>
      <c r="F31" s="58"/>
    </row>
    <row r="32" spans="2:6" ht="30" customHeight="1" x14ac:dyDescent="0.2">
      <c r="B32" s="55" t="s">
        <v>113</v>
      </c>
      <c r="C32" s="56" t="s">
        <v>268</v>
      </c>
      <c r="D32" s="28" t="s">
        <v>269</v>
      </c>
      <c r="E32" s="55" t="s">
        <v>58</v>
      </c>
      <c r="F32" s="28"/>
    </row>
    <row r="33" spans="2:6" ht="30" customHeight="1" x14ac:dyDescent="0.2">
      <c r="B33" s="27" t="s">
        <v>113</v>
      </c>
      <c r="C33" s="57" t="s">
        <v>270</v>
      </c>
      <c r="D33" s="58" t="s">
        <v>271</v>
      </c>
      <c r="E33" s="27" t="s">
        <v>58</v>
      </c>
      <c r="F33" s="58"/>
    </row>
    <row r="34" spans="2:6" ht="7.5" customHeight="1" x14ac:dyDescent="0.2"/>
  </sheetData>
  <mergeCells count="5">
    <mergeCell ref="B1:F1"/>
    <mergeCell ref="B2:F2"/>
    <mergeCell ref="B5:F5"/>
    <mergeCell ref="B15:F15"/>
    <mergeCell ref="B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3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" customWidth="1"/>
    <col min="2" max="2" width="8" customWidth="1"/>
    <col min="3" max="3" width="41.6640625" bestFit="1" customWidth="1"/>
    <col min="4" max="4" width="26.33203125" bestFit="1" customWidth="1"/>
    <col min="5" max="5" width="7.6640625" bestFit="1" customWidth="1"/>
    <col min="6" max="6" width="6.33203125" bestFit="1" customWidth="1"/>
    <col min="7" max="7" width="2" customWidth="1"/>
  </cols>
  <sheetData>
    <row r="1" spans="2:6" ht="36" customHeight="1" x14ac:dyDescent="0.2">
      <c r="B1" s="84" t="s">
        <v>272</v>
      </c>
      <c r="C1" s="84"/>
      <c r="D1" s="84"/>
      <c r="E1" s="84"/>
      <c r="F1" s="84"/>
    </row>
    <row r="2" spans="2:6" ht="18" customHeight="1" x14ac:dyDescent="0.2">
      <c r="B2" s="85" t="s">
        <v>48</v>
      </c>
      <c r="C2" s="85"/>
      <c r="D2" s="85"/>
      <c r="E2" s="85"/>
      <c r="F2" s="85"/>
    </row>
    <row r="3" spans="2:6" ht="7.5" customHeight="1" x14ac:dyDescent="0.2"/>
    <row r="4" spans="2:6" ht="21.75" customHeight="1" x14ac:dyDescent="0.2">
      <c r="B4" s="63" t="s">
        <v>49</v>
      </c>
      <c r="C4" s="63" t="s">
        <v>50</v>
      </c>
      <c r="D4" s="64" t="s">
        <v>51</v>
      </c>
      <c r="E4" s="63" t="s">
        <v>52</v>
      </c>
      <c r="F4" s="63" t="s">
        <v>53</v>
      </c>
    </row>
    <row r="5" spans="2:6" ht="21.75" customHeight="1" x14ac:dyDescent="0.2">
      <c r="B5" s="86" t="s">
        <v>273</v>
      </c>
      <c r="C5" s="86"/>
      <c r="D5" s="86"/>
      <c r="E5" s="86"/>
      <c r="F5" s="86"/>
    </row>
    <row r="6" spans="2:6" ht="30" customHeight="1" x14ac:dyDescent="0.2">
      <c r="B6" s="55" t="s">
        <v>274</v>
      </c>
      <c r="C6" s="56" t="s">
        <v>275</v>
      </c>
      <c r="D6" s="28" t="s">
        <v>276</v>
      </c>
      <c r="E6" s="55" t="s">
        <v>58</v>
      </c>
      <c r="F6" s="28"/>
    </row>
    <row r="7" spans="2:6" ht="30" customHeight="1" x14ac:dyDescent="0.2">
      <c r="B7" s="27" t="s">
        <v>274</v>
      </c>
      <c r="C7" s="57" t="s">
        <v>277</v>
      </c>
      <c r="D7" s="58" t="s">
        <v>278</v>
      </c>
      <c r="E7" s="27" t="s">
        <v>58</v>
      </c>
      <c r="F7" s="58"/>
    </row>
    <row r="8" spans="2:6" ht="30" customHeight="1" x14ac:dyDescent="0.2">
      <c r="B8" s="55" t="s">
        <v>274</v>
      </c>
      <c r="C8" s="56" t="s">
        <v>279</v>
      </c>
      <c r="D8" s="28" t="s">
        <v>280</v>
      </c>
      <c r="E8" s="55" t="s">
        <v>58</v>
      </c>
      <c r="F8" s="28"/>
    </row>
    <row r="9" spans="2:6" ht="30" customHeight="1" x14ac:dyDescent="0.2">
      <c r="B9" s="27" t="s">
        <v>274</v>
      </c>
      <c r="C9" s="57" t="s">
        <v>281</v>
      </c>
      <c r="D9" s="58" t="s">
        <v>282</v>
      </c>
      <c r="E9" s="27" t="s">
        <v>58</v>
      </c>
      <c r="F9" s="58"/>
    </row>
    <row r="10" spans="2:6" ht="30" customHeight="1" x14ac:dyDescent="0.2">
      <c r="B10" s="55" t="s">
        <v>283</v>
      </c>
      <c r="C10" s="56" t="s">
        <v>284</v>
      </c>
      <c r="D10" s="28" t="s">
        <v>246</v>
      </c>
      <c r="E10" s="55" t="s">
        <v>58</v>
      </c>
      <c r="F10" s="28"/>
    </row>
    <row r="11" spans="2:6" ht="30" customHeight="1" x14ac:dyDescent="0.2">
      <c r="B11" s="27" t="s">
        <v>285</v>
      </c>
      <c r="C11" s="57" t="s">
        <v>286</v>
      </c>
      <c r="D11" s="58" t="s">
        <v>287</v>
      </c>
      <c r="E11" s="27" t="s">
        <v>58</v>
      </c>
      <c r="F11" s="58"/>
    </row>
    <row r="12" spans="2:6" ht="30" customHeight="1" x14ac:dyDescent="0.2">
      <c r="B12" s="55" t="s">
        <v>288</v>
      </c>
      <c r="C12" s="56" t="s">
        <v>289</v>
      </c>
      <c r="D12" s="28" t="s">
        <v>290</v>
      </c>
      <c r="E12" s="55" t="s">
        <v>58</v>
      </c>
      <c r="F12" s="28"/>
    </row>
    <row r="13" spans="2:6" ht="30" customHeight="1" x14ac:dyDescent="0.2">
      <c r="B13" s="27" t="s">
        <v>71</v>
      </c>
      <c r="C13" s="57" t="s">
        <v>291</v>
      </c>
      <c r="D13" s="58" t="s">
        <v>292</v>
      </c>
      <c r="E13" s="27" t="s">
        <v>58</v>
      </c>
      <c r="F13" s="58"/>
    </row>
    <row r="14" spans="2:6" ht="7.5" customHeight="1" x14ac:dyDescent="0.2"/>
    <row r="15" spans="2:6" ht="21.75" customHeight="1" x14ac:dyDescent="0.2">
      <c r="B15" s="86" t="s">
        <v>293</v>
      </c>
      <c r="C15" s="86"/>
      <c r="D15" s="86"/>
      <c r="E15" s="86"/>
      <c r="F15" s="86"/>
    </row>
    <row r="16" spans="2:6" ht="30" customHeight="1" x14ac:dyDescent="0.2">
      <c r="B16" s="55" t="s">
        <v>274</v>
      </c>
      <c r="C16" s="56" t="s">
        <v>294</v>
      </c>
      <c r="D16" s="28" t="s">
        <v>295</v>
      </c>
      <c r="E16" s="55" t="s">
        <v>58</v>
      </c>
      <c r="F16" s="28"/>
    </row>
    <row r="17" spans="2:6" ht="30" customHeight="1" x14ac:dyDescent="0.2">
      <c r="B17" s="27" t="s">
        <v>274</v>
      </c>
      <c r="C17" s="57" t="s">
        <v>296</v>
      </c>
      <c r="D17" s="58" t="s">
        <v>297</v>
      </c>
      <c r="E17" s="27" t="s">
        <v>58</v>
      </c>
      <c r="F17" s="58"/>
    </row>
    <row r="18" spans="2:6" ht="30" customHeight="1" x14ac:dyDescent="0.2">
      <c r="B18" s="55" t="s">
        <v>274</v>
      </c>
      <c r="C18" s="56" t="s">
        <v>298</v>
      </c>
      <c r="D18" s="28" t="s">
        <v>299</v>
      </c>
      <c r="E18" s="55" t="s">
        <v>58</v>
      </c>
      <c r="F18" s="28"/>
    </row>
    <row r="19" spans="2:6" ht="30" customHeight="1" x14ac:dyDescent="0.2">
      <c r="B19" s="27" t="s">
        <v>77</v>
      </c>
      <c r="C19" s="57" t="s">
        <v>300</v>
      </c>
      <c r="D19" s="58" t="s">
        <v>301</v>
      </c>
      <c r="E19" s="27" t="s">
        <v>58</v>
      </c>
      <c r="F19" s="58"/>
    </row>
    <row r="20" spans="2:6" ht="30" customHeight="1" x14ac:dyDescent="0.2">
      <c r="B20" s="55" t="s">
        <v>82</v>
      </c>
      <c r="C20" s="56" t="s">
        <v>302</v>
      </c>
      <c r="D20" s="28" t="s">
        <v>303</v>
      </c>
      <c r="E20" s="55" t="s">
        <v>58</v>
      </c>
      <c r="F20" s="28"/>
    </row>
    <row r="21" spans="2:6" ht="30" customHeight="1" x14ac:dyDescent="0.2">
      <c r="B21" s="27" t="s">
        <v>87</v>
      </c>
      <c r="C21" s="57" t="s">
        <v>304</v>
      </c>
      <c r="D21" s="58" t="s">
        <v>305</v>
      </c>
      <c r="E21" s="27" t="s">
        <v>58</v>
      </c>
      <c r="F21" s="58"/>
    </row>
    <row r="22" spans="2:6" ht="30" customHeight="1" x14ac:dyDescent="0.2">
      <c r="B22" s="55" t="s">
        <v>87</v>
      </c>
      <c r="C22" s="56" t="s">
        <v>306</v>
      </c>
      <c r="D22" s="28" t="s">
        <v>307</v>
      </c>
      <c r="E22" s="55" t="s">
        <v>58</v>
      </c>
      <c r="F22" s="28"/>
    </row>
    <row r="23" spans="2:6" ht="30" customHeight="1" x14ac:dyDescent="0.2">
      <c r="B23" s="27" t="s">
        <v>92</v>
      </c>
      <c r="C23" s="57" t="s">
        <v>308</v>
      </c>
      <c r="D23" s="58" t="s">
        <v>309</v>
      </c>
      <c r="E23" s="27" t="s">
        <v>58</v>
      </c>
      <c r="F23" s="58"/>
    </row>
    <row r="24" spans="2:6" ht="7.5" customHeight="1" x14ac:dyDescent="0.2"/>
    <row r="25" spans="2:6" ht="21.75" customHeight="1" x14ac:dyDescent="0.2">
      <c r="B25" s="86" t="s">
        <v>310</v>
      </c>
      <c r="C25" s="86"/>
      <c r="D25" s="86"/>
      <c r="E25" s="86"/>
      <c r="F25" s="86"/>
    </row>
    <row r="26" spans="2:6" ht="30" customHeight="1" x14ac:dyDescent="0.2">
      <c r="B26" s="55" t="s">
        <v>274</v>
      </c>
      <c r="C26" s="56" t="s">
        <v>311</v>
      </c>
      <c r="D26" s="28" t="s">
        <v>312</v>
      </c>
      <c r="E26" s="55" t="s">
        <v>58</v>
      </c>
      <c r="F26" s="28"/>
    </row>
    <row r="27" spans="2:6" ht="30" customHeight="1" x14ac:dyDescent="0.2">
      <c r="B27" s="27" t="s">
        <v>274</v>
      </c>
      <c r="C27" s="57" t="s">
        <v>313</v>
      </c>
      <c r="D27" s="58" t="s">
        <v>314</v>
      </c>
      <c r="E27" s="27" t="s">
        <v>58</v>
      </c>
      <c r="F27" s="58"/>
    </row>
    <row r="28" spans="2:6" ht="30" customHeight="1" x14ac:dyDescent="0.2">
      <c r="B28" s="55" t="s">
        <v>98</v>
      </c>
      <c r="C28" s="56" t="s">
        <v>315</v>
      </c>
      <c r="D28" s="28" t="s">
        <v>316</v>
      </c>
      <c r="E28" s="55" t="s">
        <v>58</v>
      </c>
      <c r="F28" s="28"/>
    </row>
    <row r="29" spans="2:6" ht="30" customHeight="1" x14ac:dyDescent="0.2">
      <c r="B29" s="27" t="s">
        <v>103</v>
      </c>
      <c r="C29" s="57" t="s">
        <v>317</v>
      </c>
      <c r="D29" s="58" t="s">
        <v>318</v>
      </c>
      <c r="E29" s="27" t="s">
        <v>58</v>
      </c>
      <c r="F29" s="58"/>
    </row>
    <row r="30" spans="2:6" ht="30" customHeight="1" x14ac:dyDescent="0.2">
      <c r="B30" s="55" t="s">
        <v>108</v>
      </c>
      <c r="C30" s="56" t="s">
        <v>319</v>
      </c>
      <c r="D30" s="28" t="s">
        <v>320</v>
      </c>
      <c r="E30" s="55" t="s">
        <v>58</v>
      </c>
      <c r="F30" s="28"/>
    </row>
    <row r="31" spans="2:6" ht="30" customHeight="1" x14ac:dyDescent="0.2">
      <c r="B31" s="27" t="s">
        <v>108</v>
      </c>
      <c r="C31" s="57" t="s">
        <v>321</v>
      </c>
      <c r="D31" s="58" t="s">
        <v>322</v>
      </c>
      <c r="E31" s="27" t="s">
        <v>58</v>
      </c>
      <c r="F31" s="58"/>
    </row>
    <row r="32" spans="2:6" ht="30" customHeight="1" x14ac:dyDescent="0.2">
      <c r="B32" s="55" t="s">
        <v>113</v>
      </c>
      <c r="C32" s="56" t="s">
        <v>323</v>
      </c>
      <c r="D32" s="28" t="s">
        <v>324</v>
      </c>
      <c r="E32" s="55" t="s">
        <v>58</v>
      </c>
      <c r="F32" s="28"/>
    </row>
    <row r="33" spans="2:6" ht="30" customHeight="1" x14ac:dyDescent="0.2">
      <c r="B33" s="27" t="s">
        <v>113</v>
      </c>
      <c r="C33" s="57" t="s">
        <v>325</v>
      </c>
      <c r="D33" s="58" t="s">
        <v>326</v>
      </c>
      <c r="E33" s="27" t="s">
        <v>58</v>
      </c>
      <c r="F33" s="58"/>
    </row>
    <row r="34" spans="2:6" ht="7.5" customHeight="1" x14ac:dyDescent="0.2"/>
  </sheetData>
  <mergeCells count="5">
    <mergeCell ref="B1:F1"/>
    <mergeCell ref="B2:F2"/>
    <mergeCell ref="B5:F5"/>
    <mergeCell ref="B15:F15"/>
    <mergeCell ref="B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39"/>
  <sheetViews>
    <sheetView showGridLines="0" zoomScaleNormal="100" workbookViewId="0">
      <selection activeCell="C35" sqref="C35"/>
    </sheetView>
  </sheetViews>
  <sheetFormatPr baseColWidth="10" defaultColWidth="8.6640625" defaultRowHeight="15" x14ac:dyDescent="0.2"/>
  <cols>
    <col min="1" max="1" width="2" customWidth="1"/>
    <col min="2" max="2" width="39.83203125" bestFit="1" customWidth="1"/>
    <col min="3" max="3" width="10.1640625" bestFit="1" customWidth="1"/>
    <col min="4" max="4" width="8.6640625" bestFit="1" customWidth="1"/>
    <col min="5" max="5" width="12.1640625" bestFit="1" customWidth="1"/>
    <col min="6" max="6" width="2" customWidth="1"/>
  </cols>
  <sheetData>
    <row r="1" spans="2:5" ht="36" customHeight="1" x14ac:dyDescent="0.2">
      <c r="B1" s="5" t="s">
        <v>327</v>
      </c>
      <c r="C1" s="5"/>
      <c r="D1" s="5"/>
      <c r="E1" s="5"/>
    </row>
    <row r="2" spans="2:5" ht="18" customHeight="1" x14ac:dyDescent="0.2">
      <c r="B2" s="4" t="s">
        <v>328</v>
      </c>
      <c r="C2" s="4"/>
      <c r="D2" s="4"/>
      <c r="E2" s="4"/>
    </row>
    <row r="3" spans="2:5" ht="7.5" customHeight="1" x14ac:dyDescent="0.2"/>
    <row r="4" spans="2:5" ht="21.75" customHeight="1" x14ac:dyDescent="0.2">
      <c r="B4" s="16" t="s">
        <v>329</v>
      </c>
      <c r="C4" s="17" t="s">
        <v>330</v>
      </c>
      <c r="D4" s="17" t="s">
        <v>331</v>
      </c>
      <c r="E4" s="17" t="s">
        <v>52</v>
      </c>
    </row>
    <row r="5" spans="2:5" ht="18" customHeight="1" x14ac:dyDescent="0.2">
      <c r="B5" s="65" t="s">
        <v>332</v>
      </c>
      <c r="C5" s="22" t="s">
        <v>333</v>
      </c>
      <c r="D5" s="22" t="s">
        <v>334</v>
      </c>
      <c r="E5" s="22" t="s">
        <v>335</v>
      </c>
    </row>
    <row r="6" spans="2:5" ht="18" customHeight="1" x14ac:dyDescent="0.2">
      <c r="B6" s="65" t="s">
        <v>60</v>
      </c>
      <c r="C6" s="22" t="s">
        <v>336</v>
      </c>
      <c r="D6" s="22" t="s">
        <v>334</v>
      </c>
      <c r="E6" s="22" t="s">
        <v>335</v>
      </c>
    </row>
    <row r="7" spans="2:5" ht="18" customHeight="1" x14ac:dyDescent="0.2">
      <c r="B7" s="65" t="s">
        <v>337</v>
      </c>
      <c r="C7" s="22" t="s">
        <v>336</v>
      </c>
      <c r="D7" s="22" t="s">
        <v>334</v>
      </c>
      <c r="E7" s="22" t="s">
        <v>335</v>
      </c>
    </row>
    <row r="8" spans="2:5" ht="18" customHeight="1" x14ac:dyDescent="0.2">
      <c r="B8" s="65" t="s">
        <v>338</v>
      </c>
      <c r="C8" s="22" t="s">
        <v>336</v>
      </c>
      <c r="D8" s="22" t="s">
        <v>334</v>
      </c>
      <c r="E8" s="22" t="s">
        <v>335</v>
      </c>
    </row>
    <row r="9" spans="2:5" ht="18" customHeight="1" x14ac:dyDescent="0.2">
      <c r="B9" s="65" t="s">
        <v>339</v>
      </c>
      <c r="C9" s="22" t="s">
        <v>336</v>
      </c>
      <c r="D9" s="22" t="s">
        <v>334</v>
      </c>
      <c r="E9" s="22" t="s">
        <v>335</v>
      </c>
    </row>
    <row r="10" spans="2:5" ht="18" customHeight="1" x14ac:dyDescent="0.2">
      <c r="B10" s="65" t="s">
        <v>340</v>
      </c>
      <c r="C10" s="22" t="s">
        <v>341</v>
      </c>
      <c r="D10" s="22" t="s">
        <v>334</v>
      </c>
      <c r="E10" s="22" t="s">
        <v>335</v>
      </c>
    </row>
    <row r="11" spans="2:5" ht="18" customHeight="1" x14ac:dyDescent="0.2">
      <c r="B11" s="65" t="s">
        <v>342</v>
      </c>
      <c r="C11" s="22" t="s">
        <v>343</v>
      </c>
      <c r="D11" s="22" t="s">
        <v>334</v>
      </c>
      <c r="E11" s="22" t="s">
        <v>335</v>
      </c>
    </row>
    <row r="12" spans="2:5" ht="18" customHeight="1" x14ac:dyDescent="0.2">
      <c r="B12" s="65" t="s">
        <v>344</v>
      </c>
      <c r="C12" s="22" t="s">
        <v>345</v>
      </c>
      <c r="D12" s="22" t="s">
        <v>334</v>
      </c>
      <c r="E12" s="22" t="s">
        <v>335</v>
      </c>
    </row>
    <row r="13" spans="2:5" ht="18" customHeight="1" x14ac:dyDescent="0.2">
      <c r="B13" s="65" t="s">
        <v>346</v>
      </c>
      <c r="C13" s="22" t="s">
        <v>336</v>
      </c>
      <c r="D13" s="22" t="s">
        <v>334</v>
      </c>
      <c r="E13" s="22" t="s">
        <v>335</v>
      </c>
    </row>
    <row r="14" spans="2:5" ht="18" customHeight="1" x14ac:dyDescent="0.2">
      <c r="B14" s="66" t="s">
        <v>347</v>
      </c>
      <c r="C14" s="67" t="s">
        <v>348</v>
      </c>
      <c r="D14" s="67" t="s">
        <v>349</v>
      </c>
      <c r="E14" s="67" t="s">
        <v>335</v>
      </c>
    </row>
    <row r="15" spans="2:5" ht="18" customHeight="1" x14ac:dyDescent="0.2">
      <c r="B15" s="66" t="s">
        <v>350</v>
      </c>
      <c r="C15" s="67" t="s">
        <v>341</v>
      </c>
      <c r="D15" s="67" t="s">
        <v>349</v>
      </c>
      <c r="E15" s="67" t="s">
        <v>335</v>
      </c>
    </row>
    <row r="16" spans="2:5" ht="18" customHeight="1" x14ac:dyDescent="0.2">
      <c r="B16" s="66" t="s">
        <v>351</v>
      </c>
      <c r="C16" s="67" t="s">
        <v>336</v>
      </c>
      <c r="D16" s="67" t="s">
        <v>349</v>
      </c>
      <c r="E16" s="67" t="s">
        <v>335</v>
      </c>
    </row>
    <row r="17" spans="2:5" ht="18" customHeight="1" x14ac:dyDescent="0.2">
      <c r="B17" s="66" t="s">
        <v>352</v>
      </c>
      <c r="C17" s="67" t="s">
        <v>336</v>
      </c>
      <c r="D17" s="67" t="s">
        <v>349</v>
      </c>
      <c r="E17" s="67" t="s">
        <v>335</v>
      </c>
    </row>
    <row r="18" spans="2:5" ht="18" customHeight="1" x14ac:dyDescent="0.2">
      <c r="B18" s="66" t="s">
        <v>353</v>
      </c>
      <c r="C18" s="67" t="s">
        <v>348</v>
      </c>
      <c r="D18" s="67" t="s">
        <v>349</v>
      </c>
      <c r="E18" s="67" t="s">
        <v>335</v>
      </c>
    </row>
    <row r="19" spans="2:5" ht="18" customHeight="1" x14ac:dyDescent="0.2">
      <c r="B19" s="66" t="s">
        <v>354</v>
      </c>
      <c r="C19" s="67" t="s">
        <v>355</v>
      </c>
      <c r="D19" s="67" t="s">
        <v>349</v>
      </c>
      <c r="E19" s="67" t="s">
        <v>335</v>
      </c>
    </row>
    <row r="20" spans="2:5" ht="18" customHeight="1" x14ac:dyDescent="0.2">
      <c r="B20" s="66" t="s">
        <v>356</v>
      </c>
      <c r="C20" s="67" t="s">
        <v>357</v>
      </c>
      <c r="D20" s="67" t="s">
        <v>349</v>
      </c>
      <c r="E20" s="67" t="s">
        <v>335</v>
      </c>
    </row>
    <row r="21" spans="2:5" ht="18" customHeight="1" x14ac:dyDescent="0.2">
      <c r="B21" s="66" t="s">
        <v>358</v>
      </c>
      <c r="C21" s="67" t="s">
        <v>336</v>
      </c>
      <c r="D21" s="67" t="s">
        <v>349</v>
      </c>
      <c r="E21" s="67" t="s">
        <v>335</v>
      </c>
    </row>
    <row r="22" spans="2:5" ht="18" customHeight="1" x14ac:dyDescent="0.2">
      <c r="B22" s="68" t="s">
        <v>173</v>
      </c>
      <c r="C22" s="69" t="s">
        <v>359</v>
      </c>
      <c r="D22" s="69" t="s">
        <v>360</v>
      </c>
      <c r="E22" s="69" t="s">
        <v>335</v>
      </c>
    </row>
    <row r="23" spans="2:5" ht="18" customHeight="1" x14ac:dyDescent="0.2">
      <c r="B23" s="68" t="s">
        <v>361</v>
      </c>
      <c r="C23" s="69" t="s">
        <v>359</v>
      </c>
      <c r="D23" s="69" t="s">
        <v>360</v>
      </c>
      <c r="E23" s="69" t="s">
        <v>335</v>
      </c>
    </row>
    <row r="24" spans="2:5" ht="18" customHeight="1" x14ac:dyDescent="0.2">
      <c r="B24" s="68" t="s">
        <v>175</v>
      </c>
      <c r="C24" s="69" t="s">
        <v>345</v>
      </c>
      <c r="D24" s="69" t="s">
        <v>360</v>
      </c>
      <c r="E24" s="69" t="s">
        <v>335</v>
      </c>
    </row>
    <row r="25" spans="2:5" ht="18" customHeight="1" x14ac:dyDescent="0.2">
      <c r="B25" s="68" t="s">
        <v>362</v>
      </c>
      <c r="C25" s="69" t="s">
        <v>363</v>
      </c>
      <c r="D25" s="69" t="s">
        <v>360</v>
      </c>
      <c r="E25" s="69" t="s">
        <v>335</v>
      </c>
    </row>
    <row r="26" spans="2:5" ht="18" customHeight="1" x14ac:dyDescent="0.2">
      <c r="B26" s="68" t="s">
        <v>364</v>
      </c>
      <c r="C26" s="69" t="s">
        <v>359</v>
      </c>
      <c r="D26" s="69" t="s">
        <v>360</v>
      </c>
      <c r="E26" s="69" t="s">
        <v>335</v>
      </c>
    </row>
    <row r="27" spans="2:5" ht="18" customHeight="1" x14ac:dyDescent="0.2">
      <c r="B27" s="68" t="s">
        <v>365</v>
      </c>
      <c r="C27" s="69" t="s">
        <v>348</v>
      </c>
      <c r="D27" s="69" t="s">
        <v>360</v>
      </c>
      <c r="E27" s="69" t="s">
        <v>335</v>
      </c>
    </row>
    <row r="28" spans="2:5" ht="18" customHeight="1" x14ac:dyDescent="0.2">
      <c r="B28" s="68" t="s">
        <v>194</v>
      </c>
      <c r="C28" s="69" t="s">
        <v>341</v>
      </c>
      <c r="D28" s="69" t="s">
        <v>360</v>
      </c>
      <c r="E28" s="69" t="s">
        <v>335</v>
      </c>
    </row>
    <row r="29" spans="2:5" ht="18" customHeight="1" x14ac:dyDescent="0.2">
      <c r="B29" s="70" t="s">
        <v>366</v>
      </c>
      <c r="C29" s="71" t="s">
        <v>359</v>
      </c>
      <c r="D29" s="71" t="s">
        <v>367</v>
      </c>
      <c r="E29" s="71" t="s">
        <v>335</v>
      </c>
    </row>
    <row r="30" spans="2:5" ht="18" customHeight="1" x14ac:dyDescent="0.2">
      <c r="B30" s="70" t="s">
        <v>368</v>
      </c>
      <c r="C30" s="71" t="s">
        <v>359</v>
      </c>
      <c r="D30" s="71" t="s">
        <v>367</v>
      </c>
      <c r="E30" s="71" t="s">
        <v>335</v>
      </c>
    </row>
    <row r="31" spans="2:5" ht="18" customHeight="1" x14ac:dyDescent="0.2">
      <c r="B31" s="70" t="s">
        <v>369</v>
      </c>
      <c r="C31" s="71" t="s">
        <v>359</v>
      </c>
      <c r="D31" s="71" t="s">
        <v>367</v>
      </c>
      <c r="E31" s="71" t="s">
        <v>335</v>
      </c>
    </row>
    <row r="32" spans="2:5" ht="18" customHeight="1" x14ac:dyDescent="0.2">
      <c r="B32" s="70" t="s">
        <v>370</v>
      </c>
      <c r="C32" s="71" t="s">
        <v>359</v>
      </c>
      <c r="D32" s="71" t="s">
        <v>367</v>
      </c>
      <c r="E32" s="71" t="s">
        <v>335</v>
      </c>
    </row>
    <row r="33" spans="2:5" ht="18" customHeight="1" x14ac:dyDescent="0.2">
      <c r="B33" s="70" t="s">
        <v>227</v>
      </c>
      <c r="C33" s="71" t="s">
        <v>371</v>
      </c>
      <c r="D33" s="71" t="s">
        <v>367</v>
      </c>
      <c r="E33" s="71" t="s">
        <v>335</v>
      </c>
    </row>
    <row r="34" spans="2:5" ht="18" customHeight="1" x14ac:dyDescent="0.2">
      <c r="B34" s="70" t="s">
        <v>372</v>
      </c>
      <c r="C34" s="71" t="s">
        <v>359</v>
      </c>
      <c r="D34" s="71" t="s">
        <v>367</v>
      </c>
      <c r="E34" s="71" t="s">
        <v>335</v>
      </c>
    </row>
    <row r="35" spans="2:5" ht="18" customHeight="1" x14ac:dyDescent="0.2">
      <c r="B35" s="72" t="s">
        <v>373</v>
      </c>
      <c r="C35" s="73" t="s">
        <v>374</v>
      </c>
      <c r="D35" s="73" t="s">
        <v>375</v>
      </c>
      <c r="E35" s="73" t="s">
        <v>335</v>
      </c>
    </row>
    <row r="36" spans="2:5" ht="18" customHeight="1" x14ac:dyDescent="0.2">
      <c r="B36" s="72" t="s">
        <v>376</v>
      </c>
      <c r="C36" s="73" t="s">
        <v>357</v>
      </c>
      <c r="D36" s="73" t="s">
        <v>375</v>
      </c>
      <c r="E36" s="73" t="s">
        <v>335</v>
      </c>
    </row>
    <row r="37" spans="2:5" ht="18" customHeight="1" x14ac:dyDescent="0.2">
      <c r="B37" s="72" t="s">
        <v>377</v>
      </c>
      <c r="C37" s="73" t="s">
        <v>378</v>
      </c>
      <c r="D37" s="73" t="s">
        <v>375</v>
      </c>
      <c r="E37" s="73" t="s">
        <v>335</v>
      </c>
    </row>
    <row r="38" spans="2:5" ht="18" customHeight="1" x14ac:dyDescent="0.2">
      <c r="B38" s="72" t="s">
        <v>379</v>
      </c>
      <c r="C38" s="73" t="s">
        <v>371</v>
      </c>
      <c r="D38" s="73" t="s">
        <v>375</v>
      </c>
      <c r="E38" s="73" t="s">
        <v>335</v>
      </c>
    </row>
    <row r="39" spans="2:5" ht="18" customHeight="1" x14ac:dyDescent="0.2">
      <c r="B39" s="72" t="s">
        <v>380</v>
      </c>
      <c r="C39" s="73" t="s">
        <v>371</v>
      </c>
      <c r="D39" s="73" t="s">
        <v>375</v>
      </c>
      <c r="E39" s="73" t="s">
        <v>335</v>
      </c>
    </row>
  </sheetData>
  <mergeCells count="2">
    <mergeCell ref="B1:E1"/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Dashboard</vt:lpstr>
      <vt:lpstr>📅 Weekly Log</vt:lpstr>
      <vt:lpstr>🧠 LLM &amp; RLHF</vt:lpstr>
      <vt:lpstr>⚡ Inference HW</vt:lpstr>
      <vt:lpstr>🤝 Tech Sales</vt:lpstr>
      <vt:lpstr>🗣️ Communication</vt:lpstr>
      <vt:lpstr>🎙️ Voice</vt:lpstr>
      <vt:lpstr>📚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Saimir Baci</cp:lastModifiedBy>
  <cp:revision>0</cp:revision>
  <dcterms:created xsi:type="dcterms:W3CDTF">2026-05-24T19:35:58Z</dcterms:created>
  <dcterms:modified xsi:type="dcterms:W3CDTF">2026-05-24T22:30:48Z</dcterms:modified>
  <dc:language>en-US</dc:language>
</cp:coreProperties>
</file>